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éeme" sheetId="1" state="visible" r:id="rId3"/>
    <sheet name="1.1 Contratos 5550" sheetId="2" state="visible" r:id="rId4"/>
    <sheet name="Tenedores" sheetId="3" state="visible" r:id="rId5"/>
    <sheet name="1.2 Contratos 8532" sheetId="4" state="visible" r:id="rId6"/>
    <sheet name="1.3 Mercados" sheetId="5" state="visible" r:id="rId7"/>
    <sheet name="Alertas" sheetId="6" state="visible" r:id="rId8"/>
  </sheets>
  <definedNames>
    <definedName function="false" hidden="true" localSheetId="1" name="_xlnm._FilterDatabase" vbProcedure="false">'1.1 Contratos 5550'!$A$1:$AB$173</definedName>
    <definedName function="false" hidden="true" localSheetId="2" name="_xlnm._FilterDatabase" vbProcedure="false">Tenedores!$A$1:$G$259</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M9" authorId="0">
      <text>
        <r>
          <rPr>
            <sz val="10"/>
            <rFont val="Arial"/>
            <family val="2"/>
          </rPr>
          <t xml:space="preserve">Aproximada: faltan tenedores por ubicar y hay entradas sin dirección que podrían ser autorizaciones y no saldos (ver «Cobertura de tenedores» y la hoja Tenedores).</t>
        </r>
      </text>
    </comment>
    <comment ref="M35" authorId="0">
      <text>
        <r>
          <rPr>
            <sz val="10"/>
            <rFont val="Arial"/>
            <family val="2"/>
          </rPr>
          <t xml:space="preserve">Aproximada: faltan tenedores por ubicar y hay entradas sin dirección que podrían ser autorizaciones y no saldos (ver «Cobertura de tenedores» y la hoja Tenedores).</t>
        </r>
      </text>
    </comment>
  </commentList>
</comments>
</file>

<file path=xl/sharedStrings.xml><?xml version="1.0" encoding="utf-8"?>
<sst xmlns="http://schemas.openxmlformats.org/spreadsheetml/2006/main" count="8807" uniqueCount="760">
  <si>
    <t xml:space="preserve">Inventario de contratos · Bloque 1 de la solicitud SFSP v0.2</t>
  </si>
  <si>
    <t xml:space="preserve">Corte de lectura</t>
  </si>
  <si>
    <t xml:space="preserve">Red 5550. bloque 241.307 · 2026-09-22</t>
  </si>
  <si>
    <t xml:space="preserve">Cómo se obtuvo</t>
  </si>
  <si>
    <t xml:space="preserve">Lectura directa del nodo público rpc.ordenglobal-rpc.com (Besu 26.7.1), sólo consultas: eth_call, eth_getCode, eth_getStorageAt, recibos y trazas. No se firmó ni se movió nada.</t>
  </si>
  <si>
    <t xml:space="preserve">Contratos en la 5550</t>
  </si>
  <si>
    <t xml:space="preserve">172. Coincide con los 172 contratos con código que registró el constructor del génesis. Se recorrió la cadena entera: 241.307 bloques, 95 transacciones, 0 despliegues de contratos (directos o internos).</t>
  </si>
  <si>
    <t xml:space="preserve">Por qué todos son del bloque 0</t>
  </si>
  <si>
    <t xml:space="preserve">La 5550 actual arrancó el 25-ago-2026 (bloque 1: 23:40:15 UTC) con un génesis que copió código y almacenamiento de la cadena anterior. Ningún contrato se desplegó después. Fuente: infra/migracion-cadena/reinicio-5550/ETAPA-3-EL-CORTE.md; el hash del bloque 0 del nodo (0x56b3cf56…) coincide con el del acta.</t>
  </si>
  <si>
    <t xml:space="preserve">Tenedores</t>
  </si>
  <si>
    <t xml:space="preserve">Se preguntó el saldo de 465 direcciones conocidas (código, datos de la migración, eventos). Si la suma de saldos iguala el supply total, la lista está COMPLETA y la concentración es exacta. Para AUKA, ONDK, HARV y USDK se leyeron además, por su huella en el almacenamiento, los saldos de direcciones que no están en el repositorio.</t>
  </si>
  <si>
    <t xml:space="preserve">NO DISPONIBLE</t>
  </si>
  <si>
    <t xml:space="preserve">Casilla en amarillo: el dato no se puede obtener de la cadena ni del repositorio. No se estimó nada.</t>
  </si>
  <si>
    <t xml:space="preserve">Columnas extra</t>
  </si>
  <si>
    <t xml:space="preserve">Casillas en gris-azul a la derecha de las pedidas: hechos que ayudan a clasificar (huella del bytecode, duplicados, funciones privilegiadas presentes, cobertura de tenedores).</t>
  </si>
  <si>
    <t xml:space="preserve">La cadena 8532</t>
  </si>
  <si>
    <t xml:space="preserve">No respondió el 22-sep (23.23.205.33:80, conexión rechazada). La hoja 1.2 sale del volcado completo del estado al corte (genesis-id/datos/cadena-8532.json, origen s3://ordenglobal-cadena-8532-respaldo/2026-08-10) emparejado con la 5550 dirección por dirección y, donde faltaba la dirección, por su huella keccak.</t>
  </si>
  <si>
    <t xml:space="preserve">Alertas</t>
  </si>
  <si>
    <t xml:space="preserve">Ver la hoja «Alertas»: hallazgos que afectan el diseño de la migración.</t>
  </si>
  <si>
    <t xml:space="preserve">Dirección del contrato</t>
  </si>
  <si>
    <t xml:space="preserve">Nombre</t>
  </si>
  <si>
    <t xml:space="preserve">Símbolo</t>
  </si>
  <si>
    <t xml:space="preserve">Estándar</t>
  </si>
  <si>
    <t xml:space="preserve">Decimales</t>
  </si>
  <si>
    <t xml:space="preserve">Supply total</t>
  </si>
  <si>
    <t xml:space="preserve">Supply circulante</t>
  </si>
  <si>
    <t xml:space="preserve">Bloque de despliegue</t>
  </si>
  <si>
    <t xml:space="preserve">Fecha de despliegue</t>
  </si>
  <si>
    <t xml:space="preserve">Cuenta desplegadora</t>
  </si>
  <si>
    <t xml:space="preserve">Roles privilegiados</t>
  </si>
  <si>
    <t xml:space="preserve">Número de tenedores</t>
  </si>
  <si>
    <t xml:space="preserve">Concentración (top 10)</t>
  </si>
  <si>
    <t xml:space="preserve">Última transferencia</t>
  </si>
  <si>
    <t xml:space="preserve">Código verificado</t>
  </si>
  <si>
    <t xml:space="preserve">Contratos relacionados</t>
  </si>
  <si>
    <t xml:space="preserve">Responsable interno</t>
  </si>
  <si>
    <t xml:space="preserve">Origen</t>
  </si>
  <si>
    <t xml:space="preserve">Suma top 10 (unidades)</t>
  </si>
  <si>
    <t xml:space="preserve">Cobertura de tenedores</t>
  </si>
  <si>
    <t xml:space="preserve">Supply sin ubicar (unidades)</t>
  </si>
  <si>
    <t xml:space="preserve">En poder de la cuenta desplegadora (unidades)</t>
  </si>
  <si>
    <t xml:space="preserve">Funciones privilegiadas en el bytecode</t>
  </si>
  <si>
    <t xml:space="preserve">Contratos con el mismo bytecode</t>
  </si>
  <si>
    <t xml:space="preserve">SHA-256 del bytecode</t>
  </si>
  <si>
    <t xml:space="preserve">Huella registrada en ORDENSCAN</t>
  </si>
  <si>
    <t xml:space="preserve">Indicios (hechos, no clasificación)</t>
  </si>
  <si>
    <t xml:space="preserve">Alerta</t>
  </si>
  <si>
    <t xml:space="preserve">0x37bcb1c800220e414ed09e044becd3bf9d06ea67</t>
  </si>
  <si>
    <t xml:space="preserve">SILVER KAPITAL</t>
  </si>
  <si>
    <t xml:space="preserve">AGKA</t>
  </si>
  <si>
    <t xml:space="preserve">ERC-20</t>
  </si>
  <si>
    <t xml:space="preserve">NO DISPONIBLE: falta la lista oficial de billeteras de tesorería y control interno (ver columnas extra)</t>
  </si>
  <si>
    <t xml:space="preserve">2026-08-25 (génesis de la 5550; bloque 1 a las 23:40:15 UTC). Despliegue original en la 8532: NO DISPONIBLE</t>
  </si>
  <si>
    <t xml:space="preserve">Ninguna en la 5550 (sembrado en el génesis). En la 8532: NO DISPONIBLE</t>
  </si>
  <si>
    <t xml:space="preserve">Sin dueño legible por owner(); sin funciones privilegiadas detectadas</t>
  </si>
  <si>
    <t xml:space="preserve">Ninguna desde el génesis (25-ago-2026). Historial en la 8532: NO DISPONIBLE</t>
  </si>
  <si>
    <t xml:space="preserve">No. El repositorio no tiene la fuente Solidity; ver «Huella registrada en ORDENSCAN»</t>
  </si>
  <si>
    <t xml:space="preserve">—</t>
  </si>
  <si>
    <t xml:space="preserve">29ed4635fa24b53b59a7f91f97ed36923b32907ef0e79c244f6eceaea6eae85c</t>
  </si>
  <si>
    <t xml:space="preserve">No</t>
  </si>
  <si>
    <t xml:space="preserve">el símbolo AGKA aparece en 2 contratos; bytecode idéntico a otros 8</t>
  </si>
  <si>
    <t xml:space="preserve">0x961f798f998c7ff44d47d62c7fa1b572ef187a4b</t>
  </si>
  <si>
    <t xml:space="preserve">AGKA Token</t>
  </si>
  <si>
    <t xml:space="preserve">Sin dueño legible por owner(); funciones presentes: mint · quién puede llamarlas: NO DISPONIBLE (sin fuente)</t>
  </si>
  <si>
    <t xml:space="preserve">2026-09-12 15:41 UTC</t>
  </si>
  <si>
    <t xml:space="preserve">mint</t>
  </si>
  <si>
    <t xml:space="preserve">35cd1e6484dd9d021001e7cf57a3d4bb71a5f894f7089c0b56dcc8b41d870d0d</t>
  </si>
  <si>
    <t xml:space="preserve">Sí</t>
  </si>
  <si>
    <t xml:space="preserve">en el catálogo de ORDENSCAN; el símbolo AGKA aparece en 2 contratos; bytecode idéntico a otros 3</t>
  </si>
  <si>
    <t xml:space="preserve">0x2a31ba919a5339fcb0f8aeeffce2c807b16007fe</t>
  </si>
  <si>
    <t xml:space="preserve">AGROTECH</t>
  </si>
  <si>
    <t xml:space="preserve">AGRO</t>
  </si>
  <si>
    <t xml:space="preserve">en 4 par(es)/pool(s) AMM</t>
  </si>
  <si>
    <t xml:space="preserve">en el catálogo de ORDENSCAN; bytecode idéntico a otros 8</t>
  </si>
  <si>
    <t xml:space="preserve">0xae14db486872ac07d74ad69cc09590239b21ba2e</t>
  </si>
  <si>
    <t xml:space="preserve">ARTIFICIAL INTELLIGENCE</t>
  </si>
  <si>
    <t xml:space="preserve">AIT</t>
  </si>
  <si>
    <t xml:space="preserve">en 2 par(es)/pool(s) AMM</t>
  </si>
  <si>
    <t xml:space="preserve">0x69846ac960d45f9946c613dfce1b761d37faf098</t>
  </si>
  <si>
    <t xml:space="preserve">ATHLETIC</t>
  </si>
  <si>
    <t xml:space="preserve">ASL</t>
  </si>
  <si>
    <t xml:space="preserve">0xb58382be75879732f4abe96100f1b7faa6b4ce63</t>
  </si>
  <si>
    <t xml:space="preserve">AUBEX</t>
  </si>
  <si>
    <t xml:space="preserve">3cea58dfcc42bd20004f8c59e4a2b1d770371582724c4aba2affeaf89de72fce</t>
  </si>
  <si>
    <t xml:space="preserve">el símbolo AUBEX aparece en 2 contratos</t>
  </si>
  <si>
    <t xml:space="preserve">0xf1498640b27a66c0dc505093d70911c060e04fb0</t>
  </si>
  <si>
    <t xml:space="preserve">2026-09-17 23:33 UTC</t>
  </si>
  <si>
    <t xml:space="preserve">c96730055fb1f35b490c8d4a882f67016226a85822bc43dbfb06a339a573c598</t>
  </si>
  <si>
    <t xml:space="preserve">en el catálogo de ORDENSCAN; el símbolo AUBEX aparece en 2 contratos</t>
  </si>
  <si>
    <t xml:space="preserve">0x6facc8df79cedc6c5065442ce27e915aa3a26b9b</t>
  </si>
  <si>
    <t xml:space="preserve">Gold Kapital</t>
  </si>
  <si>
    <t xml:space="preserve">AUKA</t>
  </si>
  <si>
    <t xml:space="preserve">28 con dirección conocida + hasta 7 entradas sin dirección (pueden incluir autorizaciones)</t>
  </si>
  <si>
    <t xml:space="preserve">2026-09-21 23:35 UTC</t>
  </si>
  <si>
    <t xml:space="preserve">en 10 par(es)/pool(s) AMM</t>
  </si>
  <si>
    <t xml:space="preserve">en el catálogo de ORDENSCAN; bytecode idéntico a otros 3</t>
  </si>
  <si>
    <t xml:space="preserve">0x15ff8678517249a82bb57da095b7fa2ac73c8d0c</t>
  </si>
  <si>
    <t xml:space="preserve">Coffee</t>
  </si>
  <si>
    <t xml:space="preserve">COFFEE</t>
  </si>
  <si>
    <t xml:space="preserve">owner(): 0xa07a2ba9735568b989378bbb3b1439ee9c5e5714</t>
  </si>
  <si>
    <t xml:space="preserve">mint, transferOwnership, renounceOwnership</t>
  </si>
  <si>
    <t xml:space="preserve">f1a374da96493b2348f670782e3476a5e13d31d104e14b98c43dda0411c43c72</t>
  </si>
  <si>
    <t xml:space="preserve">el símbolo COFFEE aparece en 5 contratos; bytecode idéntico a otros 4</t>
  </si>
  <si>
    <t xml:space="preserve">0x30b5af871facf490bd1811f58d2f62dc7b4da2d5</t>
  </si>
  <si>
    <t xml:space="preserve">0x69027e07a4d410f1913c35f23fa4fcb32c8079d6</t>
  </si>
  <si>
    <t xml:space="preserve">0xd9d7b43a0d536ad33207ff289407cf5f94e0cda0</t>
  </si>
  <si>
    <t xml:space="preserve">owner(): 0xee3e8e7eb0b5823d225fe19be2c3f11c47460591</t>
  </si>
  <si>
    <t xml:space="preserve">0xf59d64bdbfeb65ca67c07b050ce590ecb297ab54</t>
  </si>
  <si>
    <t xml:space="preserve">0x0fa04d11f28b28cbc9b98dd016f02023addb1923</t>
  </si>
  <si>
    <t xml:space="preserve">Harvi</t>
  </si>
  <si>
    <t xml:space="preserve">HARV</t>
  </si>
  <si>
    <t xml:space="preserve">Sin dueño legible por owner(); funciones presentes: mint, burn · quién puede llamarlas: NO DISPONIBLE (sin fuente)</t>
  </si>
  <si>
    <t xml:space="preserve">4 (exacto; 1 sin dirección conocida, leídos por huella)</t>
  </si>
  <si>
    <t xml:space="preserve">mint, burn</t>
  </si>
  <si>
    <t xml:space="preserve">640abb699107fa0d25a6b0275b82b572aaea2427c7dcdc3ac0c9a745d1320402</t>
  </si>
  <si>
    <t xml:space="preserve">en el catálogo de ORDENSCAN; el símbolo HARV aparece en 15 contratos; bytecode idéntico a otros 2</t>
  </si>
  <si>
    <t xml:space="preserve">0x14c27762b115cb4e6d4c8fec69577590795db3b0</t>
  </si>
  <si>
    <t xml:space="preserve">HARVI</t>
  </si>
  <si>
    <t xml:space="preserve">327070a3cb2b28d44930ffceaf30f350f4ccf36f14d6dddca8dafce73c50caf0</t>
  </si>
  <si>
    <t xml:space="preserve">el símbolo HARV aparece en 15 contratos; bytecode idéntico a otros 13</t>
  </si>
  <si>
    <t xml:space="preserve">0x362dc3f596cfd606c000ad12c81e74afbf1e2ddc</t>
  </si>
  <si>
    <t xml:space="preserve">0x3f20f56e5a54fedafe7243e7702ff9019adca2ad</t>
  </si>
  <si>
    <t xml:space="preserve">0x4b2e05dd7a20fe11edbc9f4b606b48fe5b48c4a0</t>
  </si>
  <si>
    <t xml:space="preserve">0x6efd4ea7b21dae976194cbcb1b823b32da6ec595</t>
  </si>
  <si>
    <t xml:space="preserve">0x7047ae3f30eb5249ca4a50e18fcdfcaf9294d3db</t>
  </si>
  <si>
    <t xml:space="preserve">0x8df67373dfb952d5c029235cade8382404241686</t>
  </si>
  <si>
    <t xml:space="preserve">0x9a8652c0a043320c28d8d6e40c964bf719ac6278</t>
  </si>
  <si>
    <t xml:space="preserve">0xafb7955e0702a472c30def61c37ebad194d8897b</t>
  </si>
  <si>
    <t xml:space="preserve">0xb1d0990c5def34608832f21418f865575fc3889d</t>
  </si>
  <si>
    <t xml:space="preserve">el símbolo HARV aparece en 15 contratos; bytecode idéntico a otros 2</t>
  </si>
  <si>
    <t xml:space="preserve">0xb364447c938668e7b88d8d5bd3a2526874ac7ddf</t>
  </si>
  <si>
    <t xml:space="preserve">0xc8a8b43490c27662ef524e0d3d8c68f7da8b79a4</t>
  </si>
  <si>
    <t xml:space="preserve">0xddf4de2722772891f1e783499362e9147d660c38</t>
  </si>
  <si>
    <t xml:space="preserve">0xf3b27382bcc5177c7832172dfc2d070f19d9c752</t>
  </si>
  <si>
    <t xml:space="preserve">0x716129d8895ea869ac26d321bb1151794b0846e0</t>
  </si>
  <si>
    <t xml:space="preserve">IBS Energy</t>
  </si>
  <si>
    <t xml:space="preserve">IBS</t>
  </si>
  <si>
    <t xml:space="preserve">48aeeb7224644fa17eac0da1770ccaca07ab912c703d76ba15c663553c785fa3</t>
  </si>
  <si>
    <t xml:space="preserve">el símbolo IBS aparece en 2 contratos; bytecode idéntico a otros 1</t>
  </si>
  <si>
    <t xml:space="preserve">0x7af11d3e94a174f6fc290a5b7791a6dee2718e62</t>
  </si>
  <si>
    <t xml:space="preserve">en el catálogo de ORDENSCAN; el símbolo IBS aparece en 2 contratos; bytecode idéntico a otros 1</t>
  </si>
  <si>
    <t xml:space="preserve">0x638f2ba0e3e1083d1ba570b449bd266f3860d164</t>
  </si>
  <si>
    <t xml:space="preserve">AMOR GLOBAL</t>
  </si>
  <si>
    <t xml:space="preserve">LOVE</t>
  </si>
  <si>
    <t xml:space="preserve">0x18b6680cff71c11067bec312fc48786be2e54ead</t>
  </si>
  <si>
    <t xml:space="preserve">MONARKA</t>
  </si>
  <si>
    <t xml:space="preserve">MNKA</t>
  </si>
  <si>
    <t xml:space="preserve">2026-09-17 23:35 UTC</t>
  </si>
  <si>
    <t xml:space="preserve">en el catálogo de ORDENSCAN; el símbolo MNKA aparece en 2 contratos; bytecode idéntico a otros 8</t>
  </si>
  <si>
    <t xml:space="preserve">0x632b7f72a86b39d919fafd5c6d86663caebb49eb</t>
  </si>
  <si>
    <t xml:space="preserve">el símbolo MNKA aparece en 2 contratos; bytecode idéntico a otros 13</t>
  </si>
  <si>
    <t xml:space="preserve">0xfb83eea4b384a4b18e5a1eba7a4bb4c0b7ca19c1</t>
  </si>
  <si>
    <t xml:space="preserve">Orden Kapital</t>
  </si>
  <si>
    <t xml:space="preserve">ONDK</t>
  </si>
  <si>
    <t xml:space="preserve">47 con dirección conocida + hasta 88 entradas sin dirección (pueden incluir autorizaciones)</t>
  </si>
  <si>
    <t xml:space="preserve">2026-09-17 23:21 UTC</t>
  </si>
  <si>
    <t xml:space="preserve">en 13 par(es)/pool(s) AMM</t>
  </si>
  <si>
    <t xml:space="preserve">0x92496e1848e001428a3495409a9a9f616bb6dd3b</t>
  </si>
  <si>
    <t xml:space="preserve">POLITICAL</t>
  </si>
  <si>
    <t xml:space="preserve">0x1ac12ebd7739003059d1e9ea2a4863c92d1505dd</t>
  </si>
  <si>
    <t xml:space="preserve">REAL STATE</t>
  </si>
  <si>
    <t xml:space="preserve">REST</t>
  </si>
  <si>
    <t xml:space="preserve">en el catálogo de ORDENSCAN; el símbolo REST aparece en 2 contratos; bytecode idéntico a otros 8</t>
  </si>
  <si>
    <t xml:space="preserve">0x3607163401bc4f9135986c0d3138bff1ebd0cb96</t>
  </si>
  <si>
    <t xml:space="preserve">el símbolo REST aparece en 2 contratos; bytecode idéntico a otros 2</t>
  </si>
  <si>
    <t xml:space="preserve">0xaac6ae2e2037fc2e94d0b060792e7eb4e5fbfa66</t>
  </si>
  <si>
    <t xml:space="preserve">SOLAR</t>
  </si>
  <si>
    <t xml:space="preserve">SOL</t>
  </si>
  <si>
    <t xml:space="preserve">0xc9aff5c20670623021a6afdd6fb3ba765200ad98</t>
  </si>
  <si>
    <t xml:space="preserve">Token 1</t>
  </si>
  <si>
    <t xml:space="preserve">TK1</t>
  </si>
  <si>
    <t xml:space="preserve">5a412f92161b8b8b6e2fabcde0b067a8f1b6ad2756df2ccb48b7272fe7bb7cee</t>
  </si>
  <si>
    <t xml:space="preserve">el símbolo TK1 aparece en 2 contratos; bytecode idéntico a otros 1</t>
  </si>
  <si>
    <t xml:space="preserve">0xdd117fcf1a797db69991c2e79dd1e08071c889c0</t>
  </si>
  <si>
    <t xml:space="preserve">0x745ee2cf61703ca626f4d45d4089dc62a221fa02</t>
  </si>
  <si>
    <t xml:space="preserve">TokenA</t>
  </si>
  <si>
    <t xml:space="preserve">TKA</t>
  </si>
  <si>
    <t xml:space="preserve">en 1 par(es)/pool(s) AMM</t>
  </si>
  <si>
    <t xml:space="preserve">ec27092c5628dfd6e10ee9b502a44823526a3bf669f7c9997071c992e1dbc0f8</t>
  </si>
  <si>
    <t xml:space="preserve">el símbolo TKA aparece en 2 contratos; bytecode idéntico a otros 3</t>
  </si>
  <si>
    <t xml:space="preserve">0xbf3144d10979340e364930ef7cf0f03ccf5b04bb</t>
  </si>
  <si>
    <t xml:space="preserve">0x6669a56dc639677815a6382c6f0ff1b871f2204f</t>
  </si>
  <si>
    <t xml:space="preserve">TokenB</t>
  </si>
  <si>
    <t xml:space="preserve">TKB</t>
  </si>
  <si>
    <t xml:space="preserve">el símbolo TKB aparece en 2 contratos; bytecode idéntico a otros 3</t>
  </si>
  <si>
    <t xml:space="preserve">0xb9b1fccd86c5ba10b5ed73b720c24b65d572afab</t>
  </si>
  <si>
    <t xml:space="preserve">0x6e157d8cab7e5f5b69e06705d05cf10a0b79f111</t>
  </si>
  <si>
    <t xml:space="preserve">TKNA</t>
  </si>
  <si>
    <t xml:space="preserve">fd40b4ca5db5b1f6089296d86912844762a544ae649d06abd13db9bf423efc8a</t>
  </si>
  <si>
    <t xml:space="preserve">el símbolo TKNA aparece en 4 contratos; bytecode idéntico a otros 6</t>
  </si>
  <si>
    <t xml:space="preserve">0x73f3d01487529538110ba4f7f4cfc0e95f584ffb</t>
  </si>
  <si>
    <t xml:space="preserve">0xc4d80951921f2cdd351b177edaaa39b455d6fd6b</t>
  </si>
  <si>
    <t xml:space="preserve">0xef8a0316ceceb9fe3a892adfcffa4a0f414a9dc9</t>
  </si>
  <si>
    <t xml:space="preserve">0x04e794006db49ed6cf6942ac2ba512fda113fcd3</t>
  </si>
  <si>
    <t xml:space="preserve">TKNB</t>
  </si>
  <si>
    <t xml:space="preserve">el símbolo TKNB aparece en 3 contratos; bytecode idéntico a otros 6</t>
  </si>
  <si>
    <t xml:space="preserve">0x472fcd9a3f9a0fb83c71a05eafd9c3757ee0e4a9</t>
  </si>
  <si>
    <t xml:space="preserve">0xebc08ee5244e65ad55d5e97b86bdba283e3c894e</t>
  </si>
  <si>
    <t xml:space="preserve">0x5d917686fb61507cc9202bbc4f6eed03560fa469</t>
  </si>
  <si>
    <t xml:space="preserve">TXT</t>
  </si>
  <si>
    <t xml:space="preserve">bytecode idéntico a otros 3</t>
  </si>
  <si>
    <t xml:space="preserve">0xaeab7fa98c972e0746471d57f7b5b3538b0af716</t>
  </si>
  <si>
    <t xml:space="preserve">OG UD</t>
  </si>
  <si>
    <t xml:space="preserve">USDK</t>
  </si>
  <si>
    <t xml:space="preserve">owner(): 0x0186450cd6e7c93c466815facd9e97cadcd0ca1f</t>
  </si>
  <si>
    <t xml:space="preserve">1 (exacto; 1 sin dirección conocida, leídos por huella)</t>
  </si>
  <si>
    <t xml:space="preserve">mint, burn, transferOwnership, renounceOwnership</t>
  </si>
  <si>
    <t xml:space="preserve">25fe6a2a69f9613841641d1ec1f4d21404931629f688ec546d4d3a62c9e4cc66</t>
  </si>
  <si>
    <t xml:space="preserve">0x64bcef701a4edbbcca909cef91b5365542bd5644</t>
  </si>
  <si>
    <t xml:space="preserve">SushiBar</t>
  </si>
  <si>
    <t xml:space="preserve">xSUSHI</t>
  </si>
  <si>
    <t xml:space="preserve">675adf6c88f86f069c38222a010407939532549e04cf83e3aa1aeda3c8d3c9ab</t>
  </si>
  <si>
    <t xml:space="preserve">el símbolo xSUSHI aparece en 3 contratos; bytecode idéntico a otros 2</t>
  </si>
  <si>
    <t xml:space="preserve">0x78d68dee7c759e2d866234f4a1d971a594cea011</t>
  </si>
  <si>
    <t xml:space="preserve">0xc418cc8511c112551c675c75a87c55c844210d22</t>
  </si>
  <si>
    <t xml:space="preserve">0x7c27613b8543a8992401e4aa3f31a88d50dd40c2</t>
  </si>
  <si>
    <t xml:space="preserve">Wrapped Origen</t>
  </si>
  <si>
    <t xml:space="preserve">WORIGEN</t>
  </si>
  <si>
    <t xml:space="preserve">ERC-20 (envoltorio del nativo)</t>
  </si>
  <si>
    <t xml:space="preserve">al menos 1</t>
  </si>
  <si>
    <t xml:space="preserve">en 17 par(es)/pool(s) AMM</t>
  </si>
  <si>
    <t xml:space="preserve">aa421c9fa349162b8d080a31dc82733fa6f7efdf09edddda9eccc243c7efdcf8</t>
  </si>
  <si>
    <t xml:space="preserve">el símbolo WORIGEN aparece en 4 contratos; bytecode idéntico a otros 2</t>
  </si>
  <si>
    <t xml:space="preserve">totalSupply()=0 pero balanceOf(cuenta desplegadora)=55.000.000; el contrato no tiene ORIGEN. Saldos sin respaldo.</t>
  </si>
  <si>
    <t xml:space="preserve">0x8d7c46b7cbfe21c1d7ca3d36ebfb8e2cfc204889</t>
  </si>
  <si>
    <t xml:space="preserve">0xa053a5d6218fd883e6d06125e68c943ca51fd87a</t>
  </si>
  <si>
    <t xml:space="preserve">5486676f2d16c67bfb9f652bf4dfa8b63d27bbd6d442c3def438a1f038b09ac9</t>
  </si>
  <si>
    <t xml:space="preserve">el símbolo WORIGEN aparece en 4 contratos</t>
  </si>
  <si>
    <t xml:space="preserve">0xdb69597d6637f5260fe0634876abfb9e328c9739</t>
  </si>
  <si>
    <t xml:space="preserve">0x62df6495249c0e074ce785e8a1539c93f000b836</t>
  </si>
  <si>
    <t xml:space="preserve">Uniswap V3 Positions NFT-V1</t>
  </si>
  <si>
    <t xml:space="preserve">UNI-V3-POS</t>
  </si>
  <si>
    <t xml:space="preserve">ERC-721</t>
  </si>
  <si>
    <t xml:space="preserve">No aplica</t>
  </si>
  <si>
    <t xml:space="preserve">Ninguna en la 5550 (sembrado en el génesis). En la 8532: 0x0186450cd6e7c93c466815facd9e97cadcd0ca1f (nonce 3; infra/migracion-cadena/creadores-gestores.json)</t>
  </si>
  <si>
    <t xml:space="preserve">Sin dueño legible por owner(); funciones presentes: burn · quién puede llamarlas: NO DISPONIBLE (sin fuente)</t>
  </si>
  <si>
    <t xml:space="preserve">0 (con saldo entre direcciones conocidas)</t>
  </si>
  <si>
    <t xml:space="preserve">factoría 0xa52a131a192db2f5499bd1df3755d1b1126d3d70</t>
  </si>
  <si>
    <t xml:space="preserve">burn</t>
  </si>
  <si>
    <t xml:space="preserve">80313e85625bd40ada05bcb0e605b07fadc52be8e6828ecc91523fa7374777bd</t>
  </si>
  <si>
    <t xml:space="preserve">el símbolo UNI-V3-POS aparece en 4 contratos</t>
  </si>
  <si>
    <t xml:space="preserve">0xaf25c9025ad8bbe86d9d8051afe0192002aec272</t>
  </si>
  <si>
    <t xml:space="preserve">Ninguna en la 5550 (sembrado en el génesis). En la 8532: 0x3063a26b5f7efb2dbb96637514650dd64de80ac0 (nonce 42; infra/migracion-cadena/creadores-gestores.json)</t>
  </si>
  <si>
    <t xml:space="preserve">2 (con saldo entre direcciones conocidas)</t>
  </si>
  <si>
    <t xml:space="preserve">factoría 0xe80cc7eb524e7cf2877d6a6cca1dd3140695dd41</t>
  </si>
  <si>
    <t xml:space="preserve">c41d008c632e3c0c203d3946ed871f94dcc08af006baaeffea57241dd3bddf0d</t>
  </si>
  <si>
    <t xml:space="preserve">el símbolo UNI-V3-POS aparece en 4 contratos; bytecode idéntico a otros 1</t>
  </si>
  <si>
    <t xml:space="preserve">0xd7f46c7103e107e260a39011ff256c5d898d5527</t>
  </si>
  <si>
    <t xml:space="preserve">Ninguna en la 5550 (sembrado en el génesis). En la 8532: 0x3063a26b5f7efb2dbb96637514650dd64de80ac0 (nonce 41; infra/migracion-cadena/creadores-gestores.json)</t>
  </si>
  <si>
    <t xml:space="preserve">0xf85a573f43262ec0d4ec674a3a05c63d127ed840</t>
  </si>
  <si>
    <t xml:space="preserve">Ninguna en la 5550 (sembrado en el génesis). En la 8532: 0x0186450cd6e7c93c466815facd9e97cadcd0ca1f (nonce 47; infra/migracion-cadena/creadores-gestores.json)</t>
  </si>
  <si>
    <t xml:space="preserve">factoría 0x16f052c851ab311cfb8f77c08dd06b4bc4bf1748</t>
  </si>
  <si>
    <t xml:space="preserve">22d98a62cd7b7a1a2e4dee6267ba5eeb7c9e1864519e157af20638b2b426f210</t>
  </si>
  <si>
    <t xml:space="preserve">0x0a16b1bc547b1ec1cb6b82d4f0cb1df07f7d3500</t>
  </si>
  <si>
    <t xml:space="preserve">Factoría AMM</t>
  </si>
  <si>
    <t xml:space="preserve">8dec24c7614b1c2b577381b7c800ca87fcfba0ab777cfb9ca9a7da0e2db53b87</t>
  </si>
  <si>
    <t xml:space="preserve">bytecode idéntico a otros 23</t>
  </si>
  <si>
    <t xml:space="preserve">0x16f052c851ab311cfb8f77c08dd06b4bc4bf1748</t>
  </si>
  <si>
    <t xml:space="preserve">c9d3317251a8028657a777923b6fae15e8ee9d17080d5d64d8f95dd3699efd65</t>
  </si>
  <si>
    <t xml:space="preserve">0x178d57bc15e3d38bb34c559e2af801a403f48cc1</t>
  </si>
  <si>
    <t xml:space="preserve">0x1ea45b7c04ef70bdb5c3f4c3590304d6c3dc089c</t>
  </si>
  <si>
    <t xml:space="preserve">bytecode idéntico a otros 23; factoría sin ningún par creado</t>
  </si>
  <si>
    <t xml:space="preserve">0x212ded304f4cc190b19399700b32aaae417c976d</t>
  </si>
  <si>
    <t xml:space="preserve">factoría 0x704d13bd96b5386d4df32f11588507969ebd19fb</t>
  </si>
  <si>
    <t xml:space="preserve">1585ec4ed211d9e8ede1d40fdfb1d4bf10ae596559c3ae69d7bb8741dd6e54bc</t>
  </si>
  <si>
    <t xml:space="preserve">0x223751d7b4adbd0f08ec47eb8c825779ce8516fb</t>
  </si>
  <si>
    <t xml:space="preserve">0x23873af529f7d2b1084061015bcd82be724787b9</t>
  </si>
  <si>
    <t xml:space="preserve">factoría 0x1ea45b7c04ef70bdb5c3f4c3590304d6c3dc089c</t>
  </si>
  <si>
    <t xml:space="preserve">2efb3efa30433328973fd5d4b7991f99c3575bad1a7ac50afd0df10b67b45220</t>
  </si>
  <si>
    <t xml:space="preserve">bytecode idéntico a otros 1</t>
  </si>
  <si>
    <t xml:space="preserve">0x3790153615b4a406df9a04682bd9035b07277b74</t>
  </si>
  <si>
    <t xml:space="preserve">0x37dd438904456672022d02a84e8c68fe72ba98dd</t>
  </si>
  <si>
    <t xml:space="preserve">0x3aec4b7004a2604084e204525bba1ede3ffda288</t>
  </si>
  <si>
    <t xml:space="preserve">805a6bbdebb175c8a185e456cfaa7015737953190b9b2959bede81a4a5db18ff</t>
  </si>
  <si>
    <t xml:space="preserve">0x4829ed023ec36747a0a5e1435b185bb1b6861d3e</t>
  </si>
  <si>
    <t xml:space="preserve">0x55999c46de3eea28c0bd9a15c908cef52247fea8</t>
  </si>
  <si>
    <t xml:space="preserve">0x56ca41a0bb9f8a083db883da2673e2db0c27dac4</t>
  </si>
  <si>
    <t xml:space="preserve">0x5db8b9ee7afbe167547186e16558d248e2df36d9</t>
  </si>
  <si>
    <t xml:space="preserve">0x60e2e8e454a5411f6c0c0b8eb223d9c3e6a6ea11</t>
  </si>
  <si>
    <t xml:space="preserve">0x704d13bd96b5386d4df32f11588507969ebd19fb</t>
  </si>
  <si>
    <t xml:space="preserve">0x853a0dee90d73afb5ffca8a5b8eb29dafd47c37b</t>
  </si>
  <si>
    <t xml:space="preserve">0x8900fd296c5f1c82651b87b5acc4fc199ef76abc</t>
  </si>
  <si>
    <t xml:space="preserve">0x9d2b7055167b27f95fdca4b4bff0e99c83265571</t>
  </si>
  <si>
    <t xml:space="preserve">factoría 0x56ca41a0bb9f8a083db883da2673e2db0c27dac4</t>
  </si>
  <si>
    <t xml:space="preserve">a1f874027e64b9a3b2d4a2cd86c0cf8d97f0a2b75f07c9bff78b3d3e799fad76</t>
  </si>
  <si>
    <t xml:space="preserve">0xa250d0ab04cfeee94a4d07e5b10625fd702b377f</t>
  </si>
  <si>
    <t xml:space="preserve">0xa52a131a192db2f5499bd1df3755d1b1126d3d70</t>
  </si>
  <si>
    <t xml:space="preserve">ff39afd841b19221cada2f82ee1d707828b04f7e4ce9b5cb9b478b846a43618a</t>
  </si>
  <si>
    <t xml:space="preserve">0xab52eb548538d82aceb70cc37520d3fe04e08ed2</t>
  </si>
  <si>
    <t xml:space="preserve">0xaf3216d9e1f3ad78a94d52996190aa1875eb348a</t>
  </si>
  <si>
    <t xml:space="preserve">a4c86cb3d915e115d4282f403aaecb83d8523d334917b482a034267e00bde0bc</t>
  </si>
  <si>
    <t xml:space="preserve">factoría sin ningún par creado</t>
  </si>
  <si>
    <t xml:space="preserve">0xb8cec5c454c1052e867ff10e59baccfbb1c3194a</t>
  </si>
  <si>
    <t xml:space="preserve">0xbf48c4c3bae99a3134f2ca1ad11ccf179a74ea48</t>
  </si>
  <si>
    <t xml:space="preserve">0xbf66726d4ce327a67664ea7d441d5976c6b0452f</t>
  </si>
  <si>
    <t xml:space="preserve">0xc46a9c75c3c177932a5b1c26a75860ca533def33</t>
  </si>
  <si>
    <t xml:space="preserve">0xc8161a6ba0ba292d1b91226163280221b93c7903</t>
  </si>
  <si>
    <t xml:space="preserve">0xd6427194b6e7113e020e5da3227b7bcec15082a9</t>
  </si>
  <si>
    <t xml:space="preserve">factoría 0xc8161a6ba0ba292d1b91226163280221b93c7903</t>
  </si>
  <si>
    <t xml:space="preserve">caaa36d1387d8c7309be813f2bae6a63eaf90e8afae7b2817a816af21aad6072</t>
  </si>
  <si>
    <t xml:space="preserve">0xdf0f20075d9e6d6547de09fa43a51f6b3fb70bff</t>
  </si>
  <si>
    <t xml:space="preserve">0xe3d1888052f5a66e0a459f447ba2485cd42186cf</t>
  </si>
  <si>
    <t xml:space="preserve">0xe80cc7eb524e7cf2877d6a6cca1dd3140695dd41</t>
  </si>
  <si>
    <t xml:space="preserve">owner(): 0x3063a26b5f7efb2dbb96637514650dd64de80ac0</t>
  </si>
  <si>
    <t xml:space="preserve">38329b060780660929d4d0bf6023f7929fcf55c68d18f4e9b7bdc2c47a8eafce</t>
  </si>
  <si>
    <t xml:space="preserve">0xee77e72a1f0b15b46d05377d9fc433ebe11c132c</t>
  </si>
  <si>
    <t xml:space="preserve">factoría 0xaf3216d9e1f3ad78a94d52996190aa1875eb348a</t>
  </si>
  <si>
    <t xml:space="preserve">5d185508cb8358c02260abf45e22c05289186ed35740795bb60d0b06ee7f64ba</t>
  </si>
  <si>
    <t xml:space="preserve">0xf3ed5954fb1c25f2a3e1d4499b98b3417ce36060</t>
  </si>
  <si>
    <t xml:space="preserve">0xff8f687e1b52b086c31921b47bf441afa2681fc5</t>
  </si>
  <si>
    <t xml:space="preserve">0x062be19ed343e24ba4e22ef9c1f5563559b85224</t>
  </si>
  <si>
    <t xml:space="preserve">WETH</t>
  </si>
  <si>
    <t xml:space="preserve">Otro</t>
  </si>
  <si>
    <t xml:space="preserve">al menos 0</t>
  </si>
  <si>
    <t xml:space="preserve">3323556b5e102cecee89ec95810fedd6f8e4eb5504868a9ecca8f3586478543c</t>
  </si>
  <si>
    <t xml:space="preserve">el símbolo WETH aparece en 3 contratos; bytecode idéntico a otros 2</t>
  </si>
  <si>
    <t xml:space="preserve">Envoltorio vaciado en el génesis del 25-ago (acordado): 0 ORIGEN y 0 tenedores. Los pools que lo usan declaran liquidez con 0 WETH real.</t>
  </si>
  <si>
    <t xml:space="preserve">0x6504ac3feb5fb2031d0d6329ebd3444b79710bce</t>
  </si>
  <si>
    <t xml:space="preserve">0xccbe0c6690bf61d1f23f95f3998e4ba0d7b89f75</t>
  </si>
  <si>
    <t xml:space="preserve">en 24 par(es)/pool(s) AMM</t>
  </si>
  <si>
    <t xml:space="preserve">en el catálogo de ORDENSCAN; el símbolo WETH aparece en 3 contratos; bytecode idéntico a otros 2</t>
  </si>
  <si>
    <t xml:space="preserve">0x0fbad77bd66383ee303a2e56a73d8cfd42dc36db</t>
  </si>
  <si>
    <t xml:space="preserve">37be3d15c74b6876a71576e6a0b3b24f9205aa393186e27eb2029d0ed099c6dc</t>
  </si>
  <si>
    <t xml:space="preserve">0x1b072368f8438cee1b2fc292a68daa011af57625</t>
  </si>
  <si>
    <t xml:space="preserve">5563365887ce61b44cfdd8e9281ff94eabbb28c702f8b4c4601475c562d625df</t>
  </si>
  <si>
    <t xml:space="preserve">bytecode idéntico a otros 4</t>
  </si>
  <si>
    <t xml:space="preserve">0x1fdfdb9dbd05d787d4c70a95464356c54169f386</t>
  </si>
  <si>
    <t xml:space="preserve">ce4f6932ff14b7ae02125024545a7576bb976ce1dd5431343cd4ea54121ed699</t>
  </si>
  <si>
    <t xml:space="preserve">0x3118ceb96932c60586dd66a5ac5b39909bdc51db</t>
  </si>
  <si>
    <t xml:space="preserve">7b20d869b1f926db460c43a2d1cd854e2d6278c4847e68b544ef492ceddc9aab</t>
  </si>
  <si>
    <t xml:space="preserve">0x37ba99594f2c85e22ee0a718efeb111a8a25619f</t>
  </si>
  <si>
    <t xml:space="preserve">pause, unpause, transferOwnership, renounceOwnership</t>
  </si>
  <si>
    <t xml:space="preserve">e1138e576a6f7fa0aca2c890c8a65d1b390039db699a1600a34add0bb2805145</t>
  </si>
  <si>
    <t xml:space="preserve">0x38e8b3c4a09165f23d9de5340dc1f45fee5db697</t>
  </si>
  <si>
    <t xml:space="preserve">af4af5176d213aadad957964efa4504a1804794e3433407928ac2626974c9182</t>
  </si>
  <si>
    <t xml:space="preserve">0x467395b73c514a366d756c97101bba0a289e209c</t>
  </si>
  <si>
    <t xml:space="preserve">cc5043c66e7cc68e89a73e3bda20e419f47a8fe9578ed66b2293abad9c153abd</t>
  </si>
  <si>
    <t xml:space="preserve">0x4b7698e4cbf44bbb3c075f341fe1b9f896267000</t>
  </si>
  <si>
    <t xml:space="preserve">0x62e9422512c6affeb5e120e898710ca1272060fb</t>
  </si>
  <si>
    <t xml:space="preserve">f4bd04a8f13f54dc7feef20bfd6fee1012fa53df849293a1db89612dfae86c66</t>
  </si>
  <si>
    <t xml:space="preserve">0x7ab1b9546ccf7d1cfec34003f891f7e498c8b49e</t>
  </si>
  <si>
    <t xml:space="preserve">17ff75d6482cf898c037d6b2db88a885c03a3d44d37b7c9893b579dbde0d208d</t>
  </si>
  <si>
    <t xml:space="preserve">0x80eef06934c01516b8c55f70154a1ca146789830</t>
  </si>
  <si>
    <t xml:space="preserve">0x8135a6a110dac1f61bc4c3f50264c70f25593fe8</t>
  </si>
  <si>
    <t xml:space="preserve">0x9a6276ebe41e78fcbbecdb4bb339d16f682af845</t>
  </si>
  <si>
    <t xml:space="preserve">0xa22180530d9d52676925e6ad9247ce3c24341fb1</t>
  </si>
  <si>
    <t xml:space="preserve">8da14dedf6d9ced6af610d5af7a8874b689d376e6918c8bcb100a99be7de0317</t>
  </si>
  <si>
    <t xml:space="preserve">0xa5a9f523beb7b97ee026f789694b15addb2a9d26</t>
  </si>
  <si>
    <t xml:space="preserve">0xab33f1c87711c39c02ceac8c414b4e8392fb6e60</t>
  </si>
  <si>
    <t xml:space="preserve">0xce521d2ca34f66dcc852f606f125e278570d28ad</t>
  </si>
  <si>
    <t xml:space="preserve">0xdfec53ac361e30eeac501fa4082dab0cf03f9a6c</t>
  </si>
  <si>
    <t xml:space="preserve">0xe2af87aac06cfd8e9ef3a4b7b8196da4ded621a1</t>
  </si>
  <si>
    <t xml:space="preserve">0xe9b43cf92f11a3876e9ade625654ed8dd0583af5</t>
  </si>
  <si>
    <t xml:space="preserve">6eab39adf049439a004cce0bcf11236b87205ff58e7627c45ad9d1cbfc242318</t>
  </si>
  <si>
    <t xml:space="preserve">0xee3e8e7eb0b5823d225fe19be2c3f11c47460591</t>
  </si>
  <si>
    <t xml:space="preserve">0xfa69148a7e6b7bb0e0dea857e471d221a78e4e45</t>
  </si>
  <si>
    <t xml:space="preserve">0x2cb2bb0ba954a77d0ab5a1b36be44f6732057f97</t>
  </si>
  <si>
    <t xml:space="preserve">SushiSwap LP Token</t>
  </si>
  <si>
    <t xml:space="preserve">SLP</t>
  </si>
  <si>
    <t xml:space="preserve">Par AMM V2</t>
  </si>
  <si>
    <t xml:space="preserve">token0 AUKA 0x6facc8df79cedc6c5065442ce27e915aa3a26b9b; token1 WORIGEN 0x7c27613b8543a8992401e4aa3f31a88d50dd40c2; factoría 0x60e2e8e454a5411f6c0c0b8eb223d9c3e6a6ea11</t>
  </si>
  <si>
    <t xml:space="preserve">7773b1b6eb908a182067775ec0e331b64b430e04a64fcf390a92bc1db68ac6b4</t>
  </si>
  <si>
    <t xml:space="preserve">el símbolo SLP aparece en 18 contratos; bytecode idéntico a otros 17</t>
  </si>
  <si>
    <t xml:space="preserve">0x48db4f09225b738ab1bbfc2960f989e2ccbdf141</t>
  </si>
  <si>
    <t xml:space="preserve">token0 WORIGEN 0x7c27613b8543a8992401e4aa3f31a88d50dd40c2; token1 ONDK 0xfb83eea4b384a4b18e5a1eba7a4bb4c0b7ca19c1; factoría 0x4829ed023ec36747a0a5e1435b185bb1b6861d3e</t>
  </si>
  <si>
    <t xml:space="preserve">0x4b688d449276712a651f7238a24c11c15ed2dde2</t>
  </si>
  <si>
    <t xml:space="preserve">token0 AUKA 0x6facc8df79cedc6c5065442ce27e915aa3a26b9b; token1 WORIGEN 0x7c27613b8543a8992401e4aa3f31a88d50dd40c2; factoría 0x3790153615b4a406df9a04682bd9035b07277b74</t>
  </si>
  <si>
    <t xml:space="preserve">0x50b04a71bbcd36b33a4099e628607d8ce19a3b76</t>
  </si>
  <si>
    <t xml:space="preserve">token0 AUKA 0x6facc8df79cedc6c5065442ce27e915aa3a26b9b; token1 WORIGEN 0x7c27613b8543a8992401e4aa3f31a88d50dd40c2; factoría 0xe3d1888052f5a66e0a459f447ba2485cd42186cf</t>
  </si>
  <si>
    <t xml:space="preserve">0x5acc7aa919d31d47a771981a669dfcafc99c0d85</t>
  </si>
  <si>
    <t xml:space="preserve">token0 WORIGEN 0x7c27613b8543a8992401e4aa3f31a88d50dd40c2; token1 ONDK 0xfb83eea4b384a4b18e5a1eba7a4bb4c0b7ca19c1; factoría 0x223751d7b4adbd0f08ec47eb8c825779ce8516fb</t>
  </si>
  <si>
    <t xml:space="preserve">0x5faaccd40e9f4d6a111a96ef34e40b2ce1d7ea61</t>
  </si>
  <si>
    <t xml:space="preserve">token0 AUKA 0x6facc8df79cedc6c5065442ce27e915aa3a26b9b; token1 WORIGEN 0x7c27613b8543a8992401e4aa3f31a88d50dd40c2; factoría 0x0a16b1bc547b1ec1cb6b82d4f0cb1df07f7d3500</t>
  </si>
  <si>
    <t xml:space="preserve">0x813b5afd02ac73c9800296f348fd55c3a5ba284e</t>
  </si>
  <si>
    <t xml:space="preserve">token0 AUKA 0x6facc8df79cedc6c5065442ce27e915aa3a26b9b; token1 WORIGEN 0x7c27613b8543a8992401e4aa3f31a88d50dd40c2; factoría 0xf3ed5954fb1c25f2a3e1d4499b98b3417ce36060</t>
  </si>
  <si>
    <t xml:space="preserve">0x894440a81e59a103649c610a49b814d08d3e44d1</t>
  </si>
  <si>
    <t xml:space="preserve">token0 WORIGEN 0x7c27613b8543a8992401e4aa3f31a88d50dd40c2; token1 ONDK 0xfb83eea4b384a4b18e5a1eba7a4bb4c0b7ca19c1; factoría 0x60e2e8e454a5411f6c0c0b8eb223d9c3e6a6ea11</t>
  </si>
  <si>
    <t xml:space="preserve">0x8a63b749aad9949dbaa4dd562bccfd7ff94e2ad7</t>
  </si>
  <si>
    <t xml:space="preserve">token0 WORIGEN 0x7c27613b8543a8992401e4aa3f31a88d50dd40c2; token1 ONDK 0xfb83eea4b384a4b18e5a1eba7a4bb4c0b7ca19c1; factoría 0x3790153615b4a406df9a04682bd9035b07277b74</t>
  </si>
  <si>
    <t xml:space="preserve">0x8c08026aa0d2bbc71fe6561fca2bd67107554d8d</t>
  </si>
  <si>
    <t xml:space="preserve">token0 WORIGEN 0x7c27613b8543a8992401e4aa3f31a88d50dd40c2; token1 ONDK 0xfb83eea4b384a4b18e5a1eba7a4bb4c0b7ca19c1; factoría 0x0a16b1bc547b1ec1cb6b82d4f0cb1df07f7d3500</t>
  </si>
  <si>
    <t xml:space="preserve">0x8d6f11819bac500326ae251cd8830af85a0b7665</t>
  </si>
  <si>
    <t xml:space="preserve">token0 WORIGEN 0x7c27613b8543a8992401e4aa3f31a88d50dd40c2; token1 ONDK 0xfb83eea4b384a4b18e5a1eba7a4bb4c0b7ca19c1; factoría 0x8900fd296c5f1c82651b87b5acc4fc199ef76abc</t>
  </si>
  <si>
    <t xml:space="preserve">0x9335a4da105b57418937ed00e25bf837be73274c</t>
  </si>
  <si>
    <t xml:space="preserve">token0 WORIGEN 0x7c27613b8543a8992401e4aa3f31a88d50dd40c2; token1 ONDK 0xfb83eea4b384a4b18e5a1eba7a4bb4c0b7ca19c1; factoría 0xc8161a6ba0ba292d1b91226163280221b93c7903</t>
  </si>
  <si>
    <t xml:space="preserve">0x98679c585654cebe908c57551a3d328f13adca02</t>
  </si>
  <si>
    <t xml:space="preserve">token0 WORIGEN 0x7c27613b8543a8992401e4aa3f31a88d50dd40c2; token1 ONDK 0xfb83eea4b384a4b18e5a1eba7a4bb4c0b7ca19c1; factoría 0xe3d1888052f5a66e0a459f447ba2485cd42186cf</t>
  </si>
  <si>
    <t xml:space="preserve">0xb896adcd75732c4d272ad4a06bbfb2311ec3fd49</t>
  </si>
  <si>
    <t xml:space="preserve">token0 WORIGEN 0x7c27613b8543a8992401e4aa3f31a88d50dd40c2; token1 ONDK 0xfb83eea4b384a4b18e5a1eba7a4bb4c0b7ca19c1; factoría 0x178d57bc15e3d38bb34c559e2af801a403f48cc1</t>
  </si>
  <si>
    <t xml:space="preserve">0xb9b646245449850cb5e1ded68f59c5749e9384e5</t>
  </si>
  <si>
    <t xml:space="preserve">token0 WORIGEN 0x7c27613b8543a8992401e4aa3f31a88d50dd40c2; token1 ONDK 0xfb83eea4b384a4b18e5a1eba7a4bb4c0b7ca19c1; factoría 0xdf0f20075d9e6d6547de09fa43a51f6b3fb70bff</t>
  </si>
  <si>
    <t xml:space="preserve">0xbebe18f0fea79b1c3b94628f696560f4f84d5c93</t>
  </si>
  <si>
    <t xml:space="preserve">token0 WORIGEN 0x7c27613b8543a8992401e4aa3f31a88d50dd40c2; token1 ONDK 0xfb83eea4b384a4b18e5a1eba7a4bb4c0b7ca19c1; factoría 0xff8f687e1b52b086c31921b47bf441afa2681fc5</t>
  </si>
  <si>
    <t xml:space="preserve">0xe8b210bd196eaf50989e5b8629025162f7480fc3</t>
  </si>
  <si>
    <t xml:space="preserve">token0 WORIGEN 0x7c27613b8543a8992401e4aa3f31a88d50dd40c2; token1 ONDK 0xfb83eea4b384a4b18e5a1eba7a4bb4c0b7ca19c1; factoría 0xf3ed5954fb1c25f2a3e1d4499b98b3417ce36060</t>
  </si>
  <si>
    <t xml:space="preserve">0xfb81e3021759f6d06f9734323f64da7d7fbbf746</t>
  </si>
  <si>
    <t xml:space="preserve">token0 AUKA 0x6facc8df79cedc6c5065442ce27e915aa3a26b9b; token1 ONDK 0xfb83eea4b384a4b18e5a1eba7a4bb4c0b7ca19c1; factoría 0x0a16b1bc547b1ec1cb6b82d4f0cb1df07f7d3500</t>
  </si>
  <si>
    <t xml:space="preserve">0x0d9d6e3256f3ba9a7b1c33d07ca33d83cefea3ff</t>
  </si>
  <si>
    <t xml:space="preserve">Pool AMM V3</t>
  </si>
  <si>
    <t xml:space="preserve">token0 AGRO 0x2a31ba919a5339fcb0f8aeeffce2c807b16007fe; token1 WETH 0xccbe0c6690bf61d1f23f95f3998e4ba0d7b89f75; factoría 0xe80cc7eb524e7cf2877d6a6cca1dd3140695dd41</t>
  </si>
  <si>
    <t xml:space="preserve">91e93e8025d64137435d8260b5902db326843907dca0b05b4beead237762141c</t>
  </si>
  <si>
    <t xml:space="preserve">0x1615ebd2f63133d9a2fa76b0608be116a3d771fd</t>
  </si>
  <si>
    <t xml:space="preserve">token0 REST 0x1ac12ebd7739003059d1e9ea2a4863c92d1505dd; token1 WETH 0xccbe0c6690bf61d1f23f95f3998e4ba0d7b89f75; factoría 0xe80cc7eb524e7cf2877d6a6cca1dd3140695dd41</t>
  </si>
  <si>
    <t xml:space="preserve">2a427c4eb72661095e567fff8829b90cb23917dcd468aacbada2b41d2641ef3e</t>
  </si>
  <si>
    <t xml:space="preserve">0x237a3dab8c5a7cc9bf8b80f25e9a21d20c0dcdf7</t>
  </si>
  <si>
    <t xml:space="preserve">token0 TKB 0x6669a56dc639677815a6382c6f0ff1b871f2204f; token1 TKA 0xbf3144d10979340e364930ef7cf0f03ccf5b04bb; factoría 0xe80cc7eb524e7cf2877d6a6cca1dd3140695dd41</t>
  </si>
  <si>
    <t xml:space="preserve">ec48b21a5e811691e8bd8c6bb883767da530647fea6203112ed86fd3f526bf68</t>
  </si>
  <si>
    <t xml:space="preserve">0x2b4edb108cca5b875cea5d04408ea6231abef483</t>
  </si>
  <si>
    <t xml:space="preserve">token0 AUKA 0x6facc8df79cedc6c5065442ce27e915aa3a26b9b; token1 WETH 0xccbe0c6690bf61d1f23f95f3998e4ba0d7b89f75; factoría 0xe80cc7eb524e7cf2877d6a6cca1dd3140695dd41</t>
  </si>
  <si>
    <t xml:space="preserve">4eeb444a0093643d967b3bb34a4025724dfb50edd3ac0e3ec66fd367c81b43d0</t>
  </si>
  <si>
    <t xml:space="preserve">0x31df2c56609abfe9b5c5c9ed648fd78ff495b897</t>
  </si>
  <si>
    <t xml:space="preserve">token0 MNKA 0x18b6680cff71c11067bec312fc48786be2e54ead; token1 WETH 0xccbe0c6690bf61d1f23f95f3998e4ba0d7b89f75; factoría 0xa52a131a192db2f5499bd1df3755d1b1126d3d70</t>
  </si>
  <si>
    <t xml:space="preserve">87091f6024f1b1bd95edf9800a340fe10c5ace97e91a26b75c07e3c362fb2b00</t>
  </si>
  <si>
    <t xml:space="preserve">0x32c88388e12d3e5d6de180067b5ccb2da9d8601d</t>
  </si>
  <si>
    <t xml:space="preserve">token0 SOL 0xaac6ae2e2037fc2e94d0b060792e7eb4e5fbfa66; token1 WETH 0xccbe0c6690bf61d1f23f95f3998e4ba0d7b89f75; factoría 0xa52a131a192db2f5499bd1df3755d1b1126d3d70</t>
  </si>
  <si>
    <t xml:space="preserve">2a294e4e412b6b2a9dde21c2d4036e93d016c4961acb907485fbb0a1a177b79a</t>
  </si>
  <si>
    <t xml:space="preserve">0x375a7d409d00b2a89f86f7f1fea3ab9944b1106b</t>
  </si>
  <si>
    <t xml:space="preserve">767bb48cd6b766b779c0a1249479627a055b9e3d2c6851d0083f27c0b6fd2299</t>
  </si>
  <si>
    <t xml:space="preserve">0x4f249b2a104c7eefa1cd0c1e2c3cb9c9c64f0566</t>
  </si>
  <si>
    <t xml:space="preserve">a593c5c2381be1f5e3304d65a971ae7ed2c6898bc5e20782f2ce9403bec0d500</t>
  </si>
  <si>
    <t xml:space="preserve">0x52a9ccc754f06a0f262fd2e670e695c37dd31c8c</t>
  </si>
  <si>
    <t xml:space="preserve">token0 POLITICAL 0x92496e1848e001428a3495409a9a9f616bb6dd3b; token1 WETH 0xccbe0c6690bf61d1f23f95f3998e4ba0d7b89f75; factoría 0xa52a131a192db2f5499bd1df3755d1b1126d3d70</t>
  </si>
  <si>
    <t xml:space="preserve">efcc42c8d7c25af058ed94752c86fc7d896fc31ddd727a6807eb10bc39071941</t>
  </si>
  <si>
    <t xml:space="preserve">0x57c0860440314430e563a15bd2a7e6eb62b22060</t>
  </si>
  <si>
    <t xml:space="preserve">token0 MNKA 0x18b6680cff71c11067bec312fc48786be2e54ead; token1 WETH 0xccbe0c6690bf61d1f23f95f3998e4ba0d7b89f75; factoría 0xe80cc7eb524e7cf2877d6a6cca1dd3140695dd41</t>
  </si>
  <si>
    <t xml:space="preserve">a38d38dfeb4a4e3b5dfc83ae2725c2992b35bada78799da36c502689ff6aa34c</t>
  </si>
  <si>
    <t xml:space="preserve">0x5f1cabe049a42834dde9ff612aa801324fe33b07</t>
  </si>
  <si>
    <t xml:space="preserve">62c83e55586c9ac5460c75dcb0da2e0d7ee025803d8038f79796b365519bc9b6</t>
  </si>
  <si>
    <t xml:space="preserve">0x612cfe7bf552afb6749f5c144e56c8172a01a41a</t>
  </si>
  <si>
    <t xml:space="preserve">token0 TKNB 0x472fcd9a3f9a0fb83c71a05eafd9c3757ee0e4a9; token1 TKNA 0x73f3d01487529538110ba4f7f4cfc0e95f584ffb; factoría 0xe80cc7eb524e7cf2877d6a6cca1dd3140695dd41</t>
  </si>
  <si>
    <t xml:space="preserve">9f614395068b12d22be28d112e308bae32931c94bd4dfb6c413f1d94eaa0fb67</t>
  </si>
  <si>
    <t xml:space="preserve">0x63e5933c330b025da4950a3aeeb989b0cf2aa5a2</t>
  </si>
  <si>
    <t xml:space="preserve">token0 AGRO 0x2a31ba919a5339fcb0f8aeeffce2c807b16007fe; token1 WETH 0xccbe0c6690bf61d1f23f95f3998e4ba0d7b89f75; factoría 0xa52a131a192db2f5499bd1df3755d1b1126d3d70</t>
  </si>
  <si>
    <t xml:space="preserve">074ff44266768ac4abe395cb05b548df30fa9eb4f2b8b59fdbbd4ca786af21be</t>
  </si>
  <si>
    <t xml:space="preserve">0x6ce65a0fb39f2a1173298ce404ff560658d22d76</t>
  </si>
  <si>
    <t xml:space="preserve">token0 LOVE 0x638f2ba0e3e1083d1ba570b449bd266f3860d164; token1 WETH 0xccbe0c6690bf61d1f23f95f3998e4ba0d7b89f75; factoría 0xe80cc7eb524e7cf2877d6a6cca1dd3140695dd41</t>
  </si>
  <si>
    <t xml:space="preserve">72df09b970ddc3c43b11a69bf7c101b4da17f5ae93ab398964ad3e1034a92958</t>
  </si>
  <si>
    <t xml:space="preserve">0x77abedc6666d1643f2b1021c48a23bdd54e0e916</t>
  </si>
  <si>
    <t xml:space="preserve">token0 LOVE 0x638f2ba0e3e1083d1ba570b449bd266f3860d164; token1 WETH 0xccbe0c6690bf61d1f23f95f3998e4ba0d7b89f75; factoría 0xa52a131a192db2f5499bd1df3755d1b1126d3d70</t>
  </si>
  <si>
    <t xml:space="preserve">0d4f05ca76c4f1a06c774839b3696aedbcc740992d68dee5c8cb1f823ad3991a</t>
  </si>
  <si>
    <t xml:space="preserve">0x90141ef5f6b453dae06ffbb84e8b13cbdf80ffe6</t>
  </si>
  <si>
    <t xml:space="preserve">token0 AIT 0xae14db486872ac07d74ad69cc09590239b21ba2e; token1 WETH 0xccbe0c6690bf61d1f23f95f3998e4ba0d7b89f75; factoría 0xe80cc7eb524e7cf2877d6a6cca1dd3140695dd41</t>
  </si>
  <si>
    <t xml:space="preserve">78499f9979b1ddb916ea9b86d56253f3fdd26e110014b524f338867711c6e198</t>
  </si>
  <si>
    <t xml:space="preserve">0x95bbab35cab7606979c50caa36e2bd8f708f4ce0</t>
  </si>
  <si>
    <t xml:space="preserve">69bdfc2f8ee31ebbd5e1745622f64c4f36766ea83472647d91c23b228c6b2d8e</t>
  </si>
  <si>
    <t xml:space="preserve">0x9dfd78941c43f9894dc90653e32ce7ce223e75ea</t>
  </si>
  <si>
    <t xml:space="preserve">token0 MNKA 0x18b6680cff71c11067bec312fc48786be2e54ead; token1 WETH 0xccbe0c6690bf61d1f23f95f3998e4ba0d7b89f75; factoría 0x16f052c851ab311cfb8f77c08dd06b4bc4bf1748</t>
  </si>
  <si>
    <t xml:space="preserve">8b6fc2061aee8c5b7f48021b94349b932ed6879b3544e7fa559dc2d247a5790c</t>
  </si>
  <si>
    <t xml:space="preserve">0xa1c1d6a8c37e44ff793f201683c95b19fdfe2d91</t>
  </si>
  <si>
    <t xml:space="preserve">token0 AIT 0xae14db486872ac07d74ad69cc09590239b21ba2e; token1 WETH 0xccbe0c6690bf61d1f23f95f3998e4ba0d7b89f75; factoría 0xa52a131a192db2f5499bd1df3755d1b1126d3d70</t>
  </si>
  <si>
    <t xml:space="preserve">75fb8a032486c6b218c6f0dee9e9afde7d7bf6779a7b4208c195b1032787fcae</t>
  </si>
  <si>
    <t xml:space="preserve">0xb5deb99f0d1bc5270b5b119e0f1c0a8da100b9c2</t>
  </si>
  <si>
    <t xml:space="preserve">67fde2382025cdaa186943f8dfe6353d5f04edc6245ff82808684c21760894fa</t>
  </si>
  <si>
    <t xml:space="preserve">0xbc4bed0581eb1546b918cebd37a2de05b9cfbc8a</t>
  </si>
  <si>
    <t xml:space="preserve">token0 POLITICAL 0x92496e1848e001428a3495409a9a9f616bb6dd3b; token1 WETH 0xccbe0c6690bf61d1f23f95f3998e4ba0d7b89f75; factoría 0xe80cc7eb524e7cf2877d6a6cca1dd3140695dd41</t>
  </si>
  <si>
    <t xml:space="preserve">1d3847e6cf52dfe5798587bb098061d3ac8d601abc074df3d6c6afb9c9c2829f</t>
  </si>
  <si>
    <t xml:space="preserve">0xbe8d6462e3fd1b062f847b209daea9bc9e92ecae</t>
  </si>
  <si>
    <t xml:space="preserve">token0 TKA 0x745ee2cf61703ca626f4d45d4089dc62a221fa02; token1 TKB 0xb9b1fccd86c5ba10b5ed73b720c24b65d572afab; factoría 0xe80cc7eb524e7cf2877d6a6cca1dd3140695dd41</t>
  </si>
  <si>
    <t xml:space="preserve">f3f7dae5ddb2f47f252f1682ce09ba964f958765ad74abbc7fb363ca82bfd49e</t>
  </si>
  <si>
    <t xml:space="preserve">0xd149ffed1083db8c96bcf4c9723d163d3a524ac0</t>
  </si>
  <si>
    <t xml:space="preserve">token0 SOL 0xaac6ae2e2037fc2e94d0b060792e7eb4e5fbfa66; token1 WETH 0xccbe0c6690bf61d1f23f95f3998e4ba0d7b89f75; factoría 0xe80cc7eb524e7cf2877d6a6cca1dd3140695dd41</t>
  </si>
  <si>
    <t xml:space="preserve">15f7c25710d9f890f0e6b03e480a3599fa710c8336bbd5cdbfa4d6125848fd6b</t>
  </si>
  <si>
    <t xml:space="preserve">0xd3790bfd26fd215491e68180f1e2da2c3b8d973d</t>
  </si>
  <si>
    <t xml:space="preserve">0c208892122dd2bf2649cbdfa98ade5b42bf5884d063ff6768ed6e6b64c5c15d</t>
  </si>
  <si>
    <t xml:space="preserve">0xdba553910c6898deccda2716240ce5885beefc93</t>
  </si>
  <si>
    <t xml:space="preserve">token0 REST 0x1ac12ebd7739003059d1e9ea2a4863c92d1505dd; token1 WETH 0xccbe0c6690bf61d1f23f95f3998e4ba0d7b89f75; factoría 0xa52a131a192db2f5499bd1df3755d1b1126d3d70</t>
  </si>
  <si>
    <t xml:space="preserve">dd6aeb6fef358def2dca1f8c00c39b2eb6cb4549feb3d246400626b82deba19a</t>
  </si>
  <si>
    <t xml:space="preserve">0xe8c5af02ba4920856540d15362d33da9d294d2e8</t>
  </si>
  <si>
    <t xml:space="preserve">token0 TKNA 0xc4d80951921f2cdd351b177edaaa39b455d6fd6b; token1 TKNB 0xebc08ee5244e65ad55d5e97b86bdba283e3c894e; factoría 0xe80cc7eb524e7cf2877d6a6cca1dd3140695dd41</t>
  </si>
  <si>
    <t xml:space="preserve">7043773824b55337fd7ee75287e3d5518c9f8b0ca15573774710619b3bee7f62</t>
  </si>
  <si>
    <t xml:space="preserve">0xec9dd54d6ab8538c88127b3f71854105a69bd60e</t>
  </si>
  <si>
    <t xml:space="preserve">token0 ASL 0x69846ac960d45f9946c613dfce1b761d37faf098; token1 WETH 0xccbe0c6690bf61d1f23f95f3998e4ba0d7b89f75; factoría 0xa52a131a192db2f5499bd1df3755d1b1126d3d70</t>
  </si>
  <si>
    <t xml:space="preserve">98fe9b72d730a0f5f1f3ff77132c8489a4fb09a54e78154e60e9191e1ba6f126</t>
  </si>
  <si>
    <t xml:space="preserve">0xef6cbe22d49c6e3007404c99ca96901c89259aed</t>
  </si>
  <si>
    <t xml:space="preserve">token0 ASL 0x69846ac960d45f9946c613dfce1b761d37faf098; token1 WETH 0xccbe0c6690bf61d1f23f95f3998e4ba0d7b89f75; factoría 0xe80cc7eb524e7cf2877d6a6cca1dd3140695dd41</t>
  </si>
  <si>
    <t xml:space="preserve">2f91c99973ad61480d26c39e53da5b3ce7bc920cc715c32328f2fc3aa41755aa</t>
  </si>
  <si>
    <t xml:space="preserve">0xf90cff2a52a9dbf72555e23c0840007d8fc9739e</t>
  </si>
  <si>
    <t xml:space="preserve">token0 TKNB 0x04e794006db49ed6cf6942ac2ba512fda113fcd3; token1 TKNA 0xef8a0316ceceb9fe3a892adfcffa4a0f414a9dc9; factoría 0xe80cc7eb524e7cf2877d6a6cca1dd3140695dd41</t>
  </si>
  <si>
    <t xml:space="preserve">0446935de6be34f8618f78ee82b60ad658423b2a0680727236a32cda0cbd7edf</t>
  </si>
  <si>
    <t xml:space="preserve">0xfe5c9bdb6b5d987cc44e3283278587a39afde8ff</t>
  </si>
  <si>
    <t xml:space="preserve">token0 AGRO 0x2a31ba919a5339fcb0f8aeeffce2c807b16007fe; token1 WETH 0xccbe0c6690bf61d1f23f95f3998e4ba0d7b89f75; factoría 0x16f052c851ab311cfb8f77c08dd06b4bc4bf1748</t>
  </si>
  <si>
    <t xml:space="preserve">55a136b9c19def782b3732e756091cde41e63ac5dcc01ad2d65b43279705d029</t>
  </si>
  <si>
    <t xml:space="preserve">Total de contratos</t>
  </si>
  <si>
    <t xml:space="preserve">Token</t>
  </si>
  <si>
    <t xml:space="preserve">Contrato</t>
  </si>
  <si>
    <t xml:space="preserve">Tenedor</t>
  </si>
  <si>
    <t xml:space="preserve">Saldo (unidades)</t>
  </si>
  <si>
    <t xml:space="preserve">% del supply</t>
  </si>
  <si>
    <t xml:space="preserve">¿Contrato?</t>
  </si>
  <si>
    <t xml:space="preserve">Nota</t>
  </si>
  <si>
    <t xml:space="preserve">0xb710f64d46f9d5f28283bdfee4b13a1e9e9c15af</t>
  </si>
  <si>
    <t xml:space="preserve">0x7ac19672abedf654708fe0be29e978d13c317548</t>
  </si>
  <si>
    <t xml:space="preserve">0x746268404cc9ca2ef0ac344f02b236db232c3ad8</t>
  </si>
  <si>
    <t xml:space="preserve">0xa624c98b2943c67ac1bc584f3e511cfb5d263ff9</t>
  </si>
  <si>
    <t xml:space="preserve">0x0186450cd6e7c93c466815facd9e97cadcd0ca1f</t>
  </si>
  <si>
    <t xml:space="preserve">0xa07a2ba9735568b989378bbb3b1439ee9c5e5714</t>
  </si>
  <si>
    <t xml:space="preserve">Desplegadora</t>
  </si>
  <si>
    <t xml:space="preserve">0xd894df2b1eedd017c7bb2b01d9a16391ccc4bda5</t>
  </si>
  <si>
    <t xml:space="preserve">0xc55a2a6f9fdc8f7629a438e0ea8077bc2a9a3eaf</t>
  </si>
  <si>
    <t xml:space="preserve">(sin dirección conocida #1)</t>
  </si>
  <si>
    <t xml:space="preserve">leído por su huella en el almacenamiento; podría ser una autorización y no un saldo</t>
  </si>
  <si>
    <t xml:space="preserve">(sin dirección conocida #2)</t>
  </si>
  <si>
    <t xml:space="preserve">0x3409f79cae2ca2312254ae51708a4380ab38da9e</t>
  </si>
  <si>
    <t xml:space="preserve">(sin dirección conocida #3)</t>
  </si>
  <si>
    <t xml:space="preserve">0xd271f9936ec95f43cccfc0b9fcbe626d547ce239</t>
  </si>
  <si>
    <t xml:space="preserve">0x8979d32c407e22073e258d27adc15b78afc91781</t>
  </si>
  <si>
    <t xml:space="preserve">0x8e839af7a405f49bf72b239929b8ee3c07ee7ba0</t>
  </si>
  <si>
    <t xml:space="preserve">(sin dirección conocida #4)</t>
  </si>
  <si>
    <t xml:space="preserve">0xd747977c98ce35007beadf88037bbe5bc71cca3f</t>
  </si>
  <si>
    <t xml:space="preserve">(sin dirección conocida #5)</t>
  </si>
  <si>
    <t xml:space="preserve">0x22ee4e32c9a01d9db891763387f1f6d6cca832d3</t>
  </si>
  <si>
    <t xml:space="preserve">0x3063a26b5f7efb2dbb96637514650dd64de80ac0</t>
  </si>
  <si>
    <t xml:space="preserve">0x4a82cc10f6075cfda1bc02b48458eccf56b92154</t>
  </si>
  <si>
    <t xml:space="preserve">(sin dirección conocida #6)</t>
  </si>
  <si>
    <t xml:space="preserve">0xb3244d79725c7e603992244c61d5d874cbf2e65d</t>
  </si>
  <si>
    <t xml:space="preserve">0x5b46e429b56d204eafa7b27a775d8f165af63d26</t>
  </si>
  <si>
    <t xml:space="preserve">0x25d30337d2df2c70d221961700692548f7c34aa7</t>
  </si>
  <si>
    <t xml:space="preserve">0xf31b5d5fd72af5b3d51683fd041e5d1485257a78</t>
  </si>
  <si>
    <t xml:space="preserve">0xcc60f21f5e40515301f62c415618e284ebcfdf19</t>
  </si>
  <si>
    <t xml:space="preserve">0xc29832d386497bc662f1d8768328d2e07510981a</t>
  </si>
  <si>
    <t xml:space="preserve">0xb3ba774a3db667c4e3257a403c71ac4aeced251b</t>
  </si>
  <si>
    <t xml:space="preserve">0x720ffa76939806f88bb09fc845f92d677b2391b3</t>
  </si>
  <si>
    <t xml:space="preserve">0x5f1a04976ca10d2afe6c85c62ee8fdadd9631f9d</t>
  </si>
  <si>
    <t xml:space="preserve">0x5c7e102918202c05cdbbef69046972ec08ea433c</t>
  </si>
  <si>
    <t xml:space="preserve">0x367f62021b2c55987c6be42606e5d89e8ddbca92</t>
  </si>
  <si>
    <t xml:space="preserve">0x325366dbb820fafcb0c368e1f1f33c05d529bebd</t>
  </si>
  <si>
    <t xml:space="preserve">0x1271c8a6c7285b23d344a4428f018ed83628d44e</t>
  </si>
  <si>
    <t xml:space="preserve">0x3e531ce4fd73b5a3ea86e37fbcd92e2c36490909</t>
  </si>
  <si>
    <t xml:space="preserve">(sin dirección conocida #7)</t>
  </si>
  <si>
    <t xml:space="preserve">0xe18fdc6ae228fab92dbb8529011c229b90752df4</t>
  </si>
  <si>
    <t xml:space="preserve">0x9af6971a1744ccc34f7e94b69490275c1f760b92</t>
  </si>
  <si>
    <t xml:space="preserve">0x1eedb9a1d401972fe66b7001b4a87f8741ac6fe2</t>
  </si>
  <si>
    <t xml:space="preserve">0x614bd8151863345d52ef9a9e82afb79771727297</t>
  </si>
  <si>
    <t xml:space="preserve">0x3c27ce23403f3ed2ade089b5d52bf191de27791a</t>
  </si>
  <si>
    <t xml:space="preserve">0xd590aa16f47cd4ad429c48ec77a8e2ee66f97155</t>
  </si>
  <si>
    <t xml:space="preserve">0x84d3da9babdd7b3a844d93c31a40fcfa6dfd7488</t>
  </si>
  <si>
    <t xml:space="preserve">0x480be3eb63410a0d09b9720257e74c08ea2a0f42</t>
  </si>
  <si>
    <t xml:space="preserve">0x80c878023a463ceeef70a1f1460a4c343211ae95</t>
  </si>
  <si>
    <t xml:space="preserve">0x0cbf095d812f08be377e553fca97ddab5a189904</t>
  </si>
  <si>
    <t xml:space="preserve">0x27ade8ce3c3ce6b2e0d1effd607ded72b09f25fc</t>
  </si>
  <si>
    <t xml:space="preserve">0x31dbade047fa07669955686a8691bffd7062b82b</t>
  </si>
  <si>
    <t xml:space="preserve">0x6bdc87551a3d7db5dee23c76831c36f18f83cdc8</t>
  </si>
  <si>
    <t xml:space="preserve">0x58de1466cef3ab27781ec4e7031e89440a81f450</t>
  </si>
  <si>
    <t xml:space="preserve">0x8eba36b38e8e6ec80e56bb77a595627becd113e4</t>
  </si>
  <si>
    <t xml:space="preserve">0xe5d2a80ad6deeab4c97348af67538bfa777949bd</t>
  </si>
  <si>
    <t xml:space="preserve">0x049f03cf2efd67906d774203bda023eb1e209ed8</t>
  </si>
  <si>
    <t xml:space="preserve">(sin dirección conocida #8)</t>
  </si>
  <si>
    <t xml:space="preserve">(sin dirección conocida #9)</t>
  </si>
  <si>
    <t xml:space="preserve">(sin dirección conocida #10)</t>
  </si>
  <si>
    <t xml:space="preserve">(sin dirección conocida #11)</t>
  </si>
  <si>
    <t xml:space="preserve">(sin dirección conocida #12)</t>
  </si>
  <si>
    <t xml:space="preserve">(sin dirección conocida #13)</t>
  </si>
  <si>
    <t xml:space="preserve">(sin dirección conocida #14)</t>
  </si>
  <si>
    <t xml:space="preserve">0x0237ab3a605a41e4806b11f9eeaf85b11371d91a</t>
  </si>
  <si>
    <t xml:space="preserve">(sin dirección conocida #15)</t>
  </si>
  <si>
    <t xml:space="preserve">(sin dirección conocida #16)</t>
  </si>
  <si>
    <t xml:space="preserve">(sin dirección conocida #17)</t>
  </si>
  <si>
    <t xml:space="preserve">(sin dirección conocida #18)</t>
  </si>
  <si>
    <t xml:space="preserve">(sin dirección conocida #19)</t>
  </si>
  <si>
    <t xml:space="preserve">(sin dirección conocida #20)</t>
  </si>
  <si>
    <t xml:space="preserve">(sin dirección conocida #21)</t>
  </si>
  <si>
    <t xml:space="preserve">(sin dirección conocida #22)</t>
  </si>
  <si>
    <t xml:space="preserve">(sin dirección conocida #23)</t>
  </si>
  <si>
    <t xml:space="preserve">0x9197619c985214c942d4538d4b0a90ef00562641</t>
  </si>
  <si>
    <t xml:space="preserve">(sin dirección conocida #24)</t>
  </si>
  <si>
    <t xml:space="preserve">(sin dirección conocida #25)</t>
  </si>
  <si>
    <t xml:space="preserve">(sin dirección conocida #26)</t>
  </si>
  <si>
    <t xml:space="preserve">(sin dirección conocida #27)</t>
  </si>
  <si>
    <t xml:space="preserve">0x356d17f4a70987811f5e7f9d28cb4d0f2f3e0ec2</t>
  </si>
  <si>
    <t xml:space="preserve">(sin dirección conocida #28)</t>
  </si>
  <si>
    <t xml:space="preserve">(sin dirección conocida #29)</t>
  </si>
  <si>
    <t xml:space="preserve">(sin dirección conocida #30)</t>
  </si>
  <si>
    <t xml:space="preserve">0xe11466d2fa77c00275d00365c5a4d8564c1f5674</t>
  </si>
  <si>
    <t xml:space="preserve">(sin dirección conocida #31)</t>
  </si>
  <si>
    <t xml:space="preserve">(sin dirección conocida #32)</t>
  </si>
  <si>
    <t xml:space="preserve">0x49399ee224927f2fa2e88422f64cf997e0cb2e9d</t>
  </si>
  <si>
    <t xml:space="preserve">(sin dirección conocida #33)</t>
  </si>
  <si>
    <t xml:space="preserve">(sin dirección conocida #34)</t>
  </si>
  <si>
    <t xml:space="preserve">(sin dirección conocida #35)</t>
  </si>
  <si>
    <t xml:space="preserve">(sin dirección conocida #36)</t>
  </si>
  <si>
    <t xml:space="preserve">(sin dirección conocida #37)</t>
  </si>
  <si>
    <t xml:space="preserve">(sin dirección conocida #38)</t>
  </si>
  <si>
    <t xml:space="preserve">(sin dirección conocida #39)</t>
  </si>
  <si>
    <t xml:space="preserve">0x07e26ba9481037be64d881e1ca08f6e1fd882920</t>
  </si>
  <si>
    <t xml:space="preserve">0x9e3f605ce926a4f87a53bdeb85f50663ca4b2a08</t>
  </si>
  <si>
    <t xml:space="preserve">0x5f99826c04ff8bde80ec54d287865e3144095259</t>
  </si>
  <si>
    <t xml:space="preserve">0x2559d5cb8dc0fb3243b3d8cb41c8f0b0b4bc08d4</t>
  </si>
  <si>
    <t xml:space="preserve">(sin dirección conocida #40)</t>
  </si>
  <si>
    <t xml:space="preserve">(sin dirección conocida #41)</t>
  </si>
  <si>
    <t xml:space="preserve">(sin dirección conocida #42)</t>
  </si>
  <si>
    <t xml:space="preserve">(sin dirección conocida #43)</t>
  </si>
  <si>
    <t xml:space="preserve">(sin dirección conocida #44)</t>
  </si>
  <si>
    <t xml:space="preserve">(sin dirección conocida #45)</t>
  </si>
  <si>
    <t xml:space="preserve">(sin dirección conocida #46)</t>
  </si>
  <si>
    <t xml:space="preserve">0xa3ce43fb7e89cdcb2ff3e1cc6d578fa4ab692d21</t>
  </si>
  <si>
    <t xml:space="preserve">(sin dirección conocida #47)</t>
  </si>
  <si>
    <t xml:space="preserve">0xcda2d24c66ae40e58b546f5a3cbf02f5431b8666</t>
  </si>
  <si>
    <t xml:space="preserve">(sin dirección conocida #48)</t>
  </si>
  <si>
    <t xml:space="preserve">(sin dirección conocida #49)</t>
  </si>
  <si>
    <t xml:space="preserve">(sin dirección conocida #50)</t>
  </si>
  <si>
    <t xml:space="preserve">(sin dirección conocida #51)</t>
  </si>
  <si>
    <t xml:space="preserve">(sin dirección conocida #52)</t>
  </si>
  <si>
    <t xml:space="preserve">(sin dirección conocida #53)</t>
  </si>
  <si>
    <t xml:space="preserve">(sin dirección conocida #54)</t>
  </si>
  <si>
    <t xml:space="preserve">0x1b973407002fc96eeee19d36449abe68c733edf0</t>
  </si>
  <si>
    <t xml:space="preserve">(sin dirección conocida #55)</t>
  </si>
  <si>
    <t xml:space="preserve">(sin dirección conocida #56)</t>
  </si>
  <si>
    <t xml:space="preserve">(sin dirección conocida #57)</t>
  </si>
  <si>
    <t xml:space="preserve">(sin dirección conocida #58)</t>
  </si>
  <si>
    <t xml:space="preserve">(sin dirección conocida #59)</t>
  </si>
  <si>
    <t xml:space="preserve">(sin dirección conocida #60)</t>
  </si>
  <si>
    <t xml:space="preserve">(sin dirección conocida #61)</t>
  </si>
  <si>
    <t xml:space="preserve">(sin dirección conocida #62)</t>
  </si>
  <si>
    <t xml:space="preserve">(sin dirección conocida #63)</t>
  </si>
  <si>
    <t xml:space="preserve">(sin dirección conocida #64)</t>
  </si>
  <si>
    <t xml:space="preserve">(sin dirección conocida #65)</t>
  </si>
  <si>
    <t xml:space="preserve">(sin dirección conocida #66)</t>
  </si>
  <si>
    <t xml:space="preserve">(sin dirección conocida #67)</t>
  </si>
  <si>
    <t xml:space="preserve">(sin dirección conocida #68)</t>
  </si>
  <si>
    <t xml:space="preserve">0xa5228f2da0d7ffc800f0bb501ac2b7b9dc4053e3</t>
  </si>
  <si>
    <t xml:space="preserve">(sin dirección conocida #69)</t>
  </si>
  <si>
    <t xml:space="preserve">(sin dirección conocida #70)</t>
  </si>
  <si>
    <t xml:space="preserve">0x2c7a94adeb6a4e953348c3bbb7546c25d2ea73ef</t>
  </si>
  <si>
    <t xml:space="preserve">(sin dirección conocida #71)</t>
  </si>
  <si>
    <t xml:space="preserve">(sin dirección conocida #72)</t>
  </si>
  <si>
    <t xml:space="preserve">(sin dirección conocida #73)</t>
  </si>
  <si>
    <t xml:space="preserve">(sin dirección conocida #74)</t>
  </si>
  <si>
    <t xml:space="preserve">(sin dirección conocida #75)</t>
  </si>
  <si>
    <t xml:space="preserve">(sin dirección conocida #76)</t>
  </si>
  <si>
    <t xml:space="preserve">(sin dirección conocida #77)</t>
  </si>
  <si>
    <t xml:space="preserve">(sin dirección conocida #78)</t>
  </si>
  <si>
    <t xml:space="preserve">(sin dirección conocida #79)</t>
  </si>
  <si>
    <t xml:space="preserve">0x2c91e0dfa4027c25ec089048668d7905e6d7a6fa</t>
  </si>
  <si>
    <t xml:space="preserve">0x2b06ba5b2f5c889b5acd151d1c1c7905e3472afa</t>
  </si>
  <si>
    <t xml:space="preserve">(sin dirección conocida #80)</t>
  </si>
  <si>
    <t xml:space="preserve">(sin dirección conocida #81)</t>
  </si>
  <si>
    <t xml:space="preserve">(sin dirección conocida #82)</t>
  </si>
  <si>
    <t xml:space="preserve">0x1265f264c6e93f9abdd895daefb7f7d1467a70db</t>
  </si>
  <si>
    <t xml:space="preserve">0xfa69ffa1e204509c87ad9d5549b7fdf2190bb171</t>
  </si>
  <si>
    <t xml:space="preserve">0x7f2875a7ea5821b07b42e1d6c26afde21083fd41</t>
  </si>
  <si>
    <t xml:space="preserve">0x4a8d9b570aaa30c0dc9cd451cdd18ee6e5b2f444</t>
  </si>
  <si>
    <t xml:space="preserve">(sin dirección conocida #83)</t>
  </si>
  <si>
    <t xml:space="preserve">(sin dirección conocida #84)</t>
  </si>
  <si>
    <t xml:space="preserve">(sin dirección conocida #85)</t>
  </si>
  <si>
    <t xml:space="preserve">(sin dirección conocida #86)</t>
  </si>
  <si>
    <t xml:space="preserve">0xfff09e6a177dac424341ab9e9fb5b43d2e13e9da</t>
  </si>
  <si>
    <t xml:space="preserve">0x6232077108b32d24276f5c6db9cb47675b9540ca</t>
  </si>
  <si>
    <t xml:space="preserve">0x00f3805b9ba1ae287f800739929fec87879de701</t>
  </si>
  <si>
    <t xml:space="preserve">0x697bc55e4c184f4c1f3e1e55d8a4090a66a61aa0</t>
  </si>
  <si>
    <t xml:space="preserve">(sin dirección conocida #87)</t>
  </si>
  <si>
    <t xml:space="preserve">0x22c60de15cc3afe9911b4ab27fb2cfe47625db8c</t>
  </si>
  <si>
    <t xml:space="preserve">(sin dirección conocida #88)</t>
  </si>
  <si>
    <t xml:space="preserve">0xdb11c06794d779eaf8aac59f099ae32ef493bdd4</t>
  </si>
  <si>
    <t xml:space="preserve">0xf50ac4742d5f4384d21892e27c718ec0e62346b9</t>
  </si>
  <si>
    <t xml:space="preserve">0x11b288bc0e3ac8566cd1c29ee591205c90c0884b</t>
  </si>
  <si>
    <t xml:space="preserve">0xb47e849a58f9babd33e40a9a2faafdb269aad3a4</t>
  </si>
  <si>
    <t xml:space="preserve">0x85e7d895aee68eb98a1918816a07c15bdeba854c</t>
  </si>
  <si>
    <t xml:space="preserve">Dirección del contrato (8532)</t>
  </si>
  <si>
    <t xml:space="preserve">Concentración</t>
  </si>
  <si>
    <t xml:space="preserve">Estado respecto de la migración</t>
  </si>
  <si>
    <t xml:space="preserve">Dirección en la 5550</t>
  </si>
  <si>
    <t xml:space="preserve">Saldo nativo al corte (ORIGEN)</t>
  </si>
  <si>
    <t xml:space="preserve">Cómo se identificó la dirección</t>
  </si>
  <si>
    <t xml:space="preserve">Ver hoja 1.1 (mismo código y almacenamiento; puede diferir por transacciones posteriores al corte)</t>
  </si>
  <si>
    <t xml:space="preserve">No (sin fuente en el repositorio)</t>
  </si>
  <si>
    <t xml:space="preserve">Migrado (misma dirección, código y almacenamiento copiados al génesis de la 5550)</t>
  </si>
  <si>
    <t xml:space="preserve">volcado del estado</t>
  </si>
  <si>
    <t xml:space="preserve">por su huella keccak (el volcado no traía la dirección)</t>
  </si>
  <si>
    <t xml:space="preserve">0x0186450cd6e7c93c466815facd9e97cadcd0ca1f (creadores-gestores.json)</t>
  </si>
  <si>
    <t xml:space="preserve">0x3063a26b5f7efb2dbb96637514650dd64de80ac0 (creadores-gestores.json)</t>
  </si>
  <si>
    <t xml:space="preserve">0x0000000000000000000000000000000000001001</t>
  </si>
  <si>
    <t xml:space="preserve">Abandonado a propósito: contrato de staking de Polygon Edge; en la 5550 los validadores los gobierna QBFT (GENESIS-5550-LISTO.md)</t>
  </si>
  <si>
    <t xml:space="preserve">Contratos en la 8532</t>
  </si>
  <si>
    <t xml:space="preserve">Migrados</t>
  </si>
  <si>
    <t xml:space="preserve">Abandonados</t>
  </si>
  <si>
    <t xml:space="preserve">Par negociado</t>
  </si>
  <si>
    <t xml:space="preserve">Dónde</t>
  </si>
  <si>
    <t xml:space="preserve">Estado operativo</t>
  </si>
  <si>
    <t xml:space="preserve">Fecha de creación</t>
  </si>
  <si>
    <t xml:space="preserve">Volumen histórico acumulado</t>
  </si>
  <si>
    <t xml:space="preserve">Fecha de la última operación</t>
  </si>
  <si>
    <t xml:space="preserve">Liquidez hoy</t>
  </si>
  <si>
    <t xml:space="preserve">AUKA-ORIGEN</t>
  </si>
  <si>
    <t xml:space="preserve">Ordenex (libro de órdenes fuera de la cadena, MongoDB)</t>
  </si>
  <si>
    <t xml:space="preserve">No aplica: no es un contrato</t>
  </si>
  <si>
    <t xml:space="preserve">Abierto · sólo hay orden de venta</t>
  </si>
  <si>
    <t xml:space="preserve">0 (API pública: /mercados/AUKA-ORIGEN/tratos devuelve cero operaciones)</t>
  </si>
  <si>
    <t xml:space="preserve">Ninguna operación registrada</t>
  </si>
  <si>
    <t xml:space="preserve">Referencia: onza de oro · fuente coingecko</t>
  </si>
  <si>
    <t xml:space="preserve">AGKA-ORIGEN</t>
  </si>
  <si>
    <t xml:space="preserve">Abierto · sin órdenes</t>
  </si>
  <si>
    <t xml:space="preserve">0 (API pública: /mercados/AGKA-ORIGEN/tratos devuelve cero operaciones)</t>
  </si>
  <si>
    <t xml:space="preserve">Referencia: onza de plata · fuente coingecko</t>
  </si>
  <si>
    <t xml:space="preserve">ONDK-ORIGEN</t>
  </si>
  <si>
    <t xml:space="preserve">0 (API pública: /mercados/ONDK-ORIGEN/tratos devuelve cero operaciones)</t>
  </si>
  <si>
    <t xml:space="preserve">Referencia: precio declarado · acta JD-2026-08-16 · fuente coingecko</t>
  </si>
  <si>
    <t xml:space="preserve">IBS-ORIGEN</t>
  </si>
  <si>
    <t xml:space="preserve">0 (API pública: /mercados/IBS-ORIGEN/tratos devuelve cero operaciones)</t>
  </si>
  <si>
    <t xml:space="preserve">Referencia: None · fuente coingecko</t>
  </si>
  <si>
    <t xml:space="preserve">HARV-ORIGEN</t>
  </si>
  <si>
    <t xml:space="preserve">0 (API pública: /mercados/HARV-ORIGEN/tratos devuelve cero operaciones)</t>
  </si>
  <si>
    <t xml:space="preserve">AUKA / ONDK</t>
  </si>
  <si>
    <t xml:space="preserve">Par AMM V2 en la cadena 5550</t>
  </si>
  <si>
    <t xml:space="preserve">Sin liquidez</t>
  </si>
  <si>
    <t xml:space="preserve">2026-08-25 en la 5550 (génesis). Creación original en la 8532: NO DISPONIBLE</t>
  </si>
  <si>
    <t xml:space="preserve">NO DISPONIBLE: los eventos de intercambio de la 8532 no pasaron al génesis</t>
  </si>
  <si>
    <t xml:space="preserve">Ninguna en la 5550</t>
  </si>
  <si>
    <t xml:space="preserve">reservas 0 / 0 (unidades base)</t>
  </si>
  <si>
    <t xml:space="preserve">AUKA / WORIGEN</t>
  </si>
  <si>
    <t xml:space="preserve">WORIGEN / ONDK</t>
  </si>
  <si>
    <t xml:space="preserve">AGRO / WETH</t>
  </si>
  <si>
    <t xml:space="preserve">Pool AMM V3 en la cadena 5550</t>
  </si>
  <si>
    <t xml:space="preserve">Con liquidez</t>
  </si>
  <si>
    <t xml:space="preserve">liquidez V3 4131182235954578003</t>
  </si>
  <si>
    <t xml:space="preserve">Saldo real de WETH del pool: 0 (ver Alertas)</t>
  </si>
  <si>
    <t xml:space="preserve">liquidez V3 1</t>
  </si>
  <si>
    <t xml:space="preserve">liquidez V3 0</t>
  </si>
  <si>
    <t xml:space="preserve">AIT / WETH</t>
  </si>
  <si>
    <t xml:space="preserve">liquidez V3 6197841821411969789</t>
  </si>
  <si>
    <t xml:space="preserve">ASL / WETH</t>
  </si>
  <si>
    <t xml:space="preserve">liquidez V3 9284623594638484158</t>
  </si>
  <si>
    <t xml:space="preserve">AUKA / WETH</t>
  </si>
  <si>
    <t xml:space="preserve">liquidez V3 34</t>
  </si>
  <si>
    <t xml:space="preserve">liquidez V3 48350947702972317</t>
  </si>
  <si>
    <t xml:space="preserve">liquidez V3 395066081268049924196</t>
  </si>
  <si>
    <t xml:space="preserve">LOVE / WETH</t>
  </si>
  <si>
    <t xml:space="preserve">liquidez V3 42131652497047628674</t>
  </si>
  <si>
    <t xml:space="preserve">MNKA / WETH</t>
  </si>
  <si>
    <t xml:space="preserve">liquidez V3 12806248474865697363</t>
  </si>
  <si>
    <t xml:space="preserve">POLITICAL / WETH</t>
  </si>
  <si>
    <t xml:space="preserve">liquidez V3 24576957615571213990</t>
  </si>
  <si>
    <t xml:space="preserve">REST / WETH</t>
  </si>
  <si>
    <t xml:space="preserve">liquidez V3 4941791613152671874</t>
  </si>
  <si>
    <t xml:space="preserve">SOL / WETH</t>
  </si>
  <si>
    <t xml:space="preserve">liquidez V3 16223482180031558394</t>
  </si>
  <si>
    <t xml:space="preserve">TKA / TKB</t>
  </si>
  <si>
    <t xml:space="preserve">TKB / TKA</t>
  </si>
  <si>
    <t xml:space="preserve">TKNA / TKNB</t>
  </si>
  <si>
    <t xml:space="preserve">liquidez V3 1030396986963926263832627</t>
  </si>
  <si>
    <t xml:space="preserve">TKNB / TKNA</t>
  </si>
  <si>
    <t xml:space="preserve">Supply de AUKA y ONDK no ubicado del todo</t>
  </si>
  <si>
    <t xml:space="preserve">AUKA: faltan 9.823,01 unidades. ONDK: faltan 792,5 unidades. Ni entre las 465 direcciones conocidas ni entre las entradas de almacenamiento de la foto de la 8532. Probablemente son saldos creados en la 5550 intermedia (15 al 25 de agosto), cuyo historial se perdió con el reinicio. No está probado. Para ubicarlos hace falta la base de usuarios de Veta Wallet o el volcado de esa cadena intermedia.</t>
  </si>
  <si>
    <t xml:space="preserve">Tres contratos WORIGEN incoherentes</t>
  </si>
  <si>
    <t xml:space="preserve">totalSupply() = 0, pero balanceOf(cuenta desplegadora 0xa07a…5714) = 55.000.000 en los tres, y ninguno tiene ORIGEN. Si alguien los canjeara, no hay respaldo. Hay que decidir su tratamiento antes de migrar.</t>
  </si>
  <si>
    <t xml:space="preserve">Pools contra WETH con liquidez que no existe</t>
  </si>
  <si>
    <t xml:space="preserve">El envoltorio 0xccbe…9f75 tenía 16.387,76 ORIGEN en la 8532. El génesis del 25-ago lo vació junto con sus saldos, como estaba acordado (reinicio-5550/ETAPAS-1-Y-2.md). Pero 12 pools V3 contra WETH siguen declarando liquidez interna con 0 WETH real: sólo conservan su lado en token (por ejemplo, unos 11,39 AUKA entre tres pools). Esa liquidez no se puede operar. Los tokens que quedan dentro pertenecen, según el acta, a las dos cuentas operadoras que crearon las posiciones (0x0186450c…, 0x3063a26b…). Hay que decidir si se retiran antes de migrar. El único pool con los dos lados reales es TKNA/TKNB.</t>
  </si>
  <si>
    <t xml:space="preserve">Ningún código fuente</t>
  </si>
  <si>
    <t xml:space="preserve">El repositorio no tiene la fuente Solidity de ninguno de los 172 contratos. «Código verificado» es No en todos. ORDENSCAN registra sólo la huella del bytecode de 15.</t>
  </si>
  <si>
    <t xml:space="preserve">Despliegues repetidos</t>
  </si>
  <si>
    <t xml:space="preserve">24 factorías con el mismo bytecode (la mayoría sin pares), varias copias de routers, envoltorios y contratos mínimos. Es un indicio de despliegues de prueba, no una clasificación: el campo «Origen» queda NO DISPONIBLE hasta que alguien responsable lo confirme.</t>
  </si>
  <si>
    <t xml:space="preserve">La 8532 no responde</t>
  </si>
  <si>
    <t xml:space="preserve">El 21-ago respondía en 23.23.205.33:80 (LA-8532-SIGUE-VIVA.md); el 22-sep rechaza la conexión. Si hace falta algún dato de la 8532 que no esté en el volcado, se necesita el respaldo en S3.</t>
  </si>
  <si>
    <t xml:space="preserve">Por contrato</t>
  </si>
  <si>
    <t xml:space="preserve">0x7c27613b8543a8992401e4aa3f31a88d50dd40c2 · totalSupply()=0 pero balanceOf(cuenta desplegadora)=55.000.000; el contrato no tiene ORIGEN. Saldos sin respaldo.</t>
  </si>
  <si>
    <t xml:space="preserve">0x8d7c46b7cbfe21c1d7ca3d36ebfb8e2cfc204889 · totalSupply()=0 pero balanceOf(cuenta desplegadora)=55.000.000; el contrato no tiene ORIGEN. Saldos sin respaldo.</t>
  </si>
  <si>
    <t xml:space="preserve">0xa053a5d6218fd883e6d06125e68c943ca51fd87a · totalSupply()=0 pero balanceOf(cuenta desplegadora)=55.000.000; el contrato no tiene ORIGEN. Saldos sin respaldo.</t>
  </si>
  <si>
    <t xml:space="preserve">0xdb69597d6637f5260fe0634876abfb9e328c9739 · totalSupply()=0 pero balanceOf(cuenta desplegadora)=55.000.000; el contrato no tiene ORIGEN. Saldos sin respaldo.</t>
  </si>
  <si>
    <t xml:space="preserve">0x062be19ed343e24ba4e22ef9c1f5563559b85224 · Envoltorio vaciado en el génesis del 25-ago (acordado): 0 ORIGEN y 0 tenedores. Los pools que lo usan declaran liquidez con 0 WETH real.</t>
  </si>
  <si>
    <t xml:space="preserve">0x6504ac3feb5fb2031d0d6329ebd3444b79710bce · Envoltorio vaciado en el génesis del 25-ago (acordado): 0 ORIGEN y 0 tenedores. Los pools que lo usan declaran liquidez con 0 WETH real.</t>
  </si>
  <si>
    <t xml:space="preserve">0xccbe0c6690bf61d1f23f95f3998e4ba0d7b89f75 · Envoltorio vaciado en el génesis del 25-ago (acordado): 0 ORIGEN y 0 tenedores. Los pools que lo usan declaran liquidez con 0 WETH real.</t>
  </si>
</sst>
</file>

<file path=xl/styles.xml><?xml version="1.0" encoding="utf-8"?>
<styleSheet xmlns="http://schemas.openxmlformats.org/spreadsheetml/2006/main">
  <numFmts count="6">
    <numFmt numFmtId="164" formatCode="General"/>
    <numFmt numFmtId="165" formatCode="#,##0.####"/>
    <numFmt numFmtId="166" formatCode="0.00%"/>
    <numFmt numFmtId="167" formatCode="0.0000%"/>
    <numFmt numFmtId="168" formatCode="#,##0.######"/>
    <numFmt numFmtId="169"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0"/>
      <color rgb="FFFFFFFF"/>
      <name val="Arial"/>
      <family val="0"/>
      <charset val="1"/>
    </font>
    <font>
      <sz val="10"/>
      <name val="Arial"/>
      <family val="2"/>
    </font>
  </fonts>
  <fills count="6">
    <fill>
      <patternFill patternType="none"/>
    </fill>
    <fill>
      <patternFill patternType="gray125"/>
    </fill>
    <fill>
      <patternFill patternType="solid">
        <fgColor rgb="FFFBECD1"/>
        <bgColor rgb="FFF6DCD8"/>
      </patternFill>
    </fill>
    <fill>
      <patternFill patternType="solid">
        <fgColor rgb="FFEEF2F7"/>
        <bgColor rgb="FFFFFFFF"/>
      </patternFill>
    </fill>
    <fill>
      <patternFill patternType="solid">
        <fgColor rgb="FF0E1A2B"/>
        <bgColor rgb="FF000000"/>
      </patternFill>
    </fill>
    <fill>
      <patternFill patternType="solid">
        <fgColor rgb="FFF6DCD8"/>
        <bgColor rgb="FFFBECD1"/>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5" fontId="6"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6" fontId="6" fillId="0" borderId="0" xfId="0" applyFont="true" applyBorder="false" applyAlignment="true" applyProtection="false">
      <alignment horizontal="general" vertical="top" textRotation="0" wrapText="false" indent="0" shrinkToFit="false"/>
      <protection locked="true" hidden="false"/>
    </xf>
    <xf numFmtId="165" fontId="6" fillId="3" borderId="0" xfId="0" applyFont="true" applyBorder="false" applyAlignment="true" applyProtection="false">
      <alignment horizontal="general" vertical="top" textRotation="0" wrapText="false" indent="0" shrinkToFit="false"/>
      <protection locked="true" hidden="false"/>
    </xf>
    <xf numFmtId="167" fontId="6" fillId="3" borderId="0" xfId="0" applyFont="true" applyBorder="false" applyAlignment="true" applyProtection="false">
      <alignment horizontal="general" vertical="top" textRotation="0" wrapText="false" indent="0" shrinkToFit="false"/>
      <protection locked="true" hidden="false"/>
    </xf>
    <xf numFmtId="164" fontId="6" fillId="3" borderId="0" xfId="0" applyFont="true" applyBorder="false" applyAlignment="true" applyProtection="false">
      <alignment horizontal="general" vertical="top" textRotation="0" wrapText="false" indent="0" shrinkToFit="false"/>
      <protection locked="true" hidden="false"/>
    </xf>
    <xf numFmtId="164" fontId="6" fillId="5" borderId="0" xfId="0" applyFont="true" applyBorder="false" applyAlignment="true" applyProtection="false">
      <alignment horizontal="general" vertical="top" textRotation="0" wrapText="true" indent="0" shrinkToFit="false"/>
      <protection locked="true" hidden="false"/>
    </xf>
    <xf numFmtId="165" fontId="6" fillId="2"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E1A2B"/>
          <bgColor rgb="FF000000"/>
        </patternFill>
      </fill>
    </dxf>
    <dxf>
      <fill>
        <patternFill patternType="solid">
          <bgColor rgb="FF000000"/>
        </patternFill>
      </fill>
    </dxf>
    <dxf>
      <fill>
        <patternFill patternType="solid">
          <fgColor rgb="FFFFFFFF"/>
          <bgColor rgb="FF000000"/>
        </patternFill>
      </fill>
    </dxf>
    <dxf>
      <fill>
        <patternFill patternType="solid">
          <fgColor rgb="FFFBECD1"/>
          <bgColor rgb="FF000000"/>
        </patternFill>
      </fill>
    </dxf>
    <dxf>
      <fill>
        <patternFill patternType="solid">
          <fgColor rgb="FFEEF2F7"/>
          <bgColor rgb="FF000000"/>
        </patternFill>
      </fill>
    </dxf>
    <dxf>
      <fill>
        <patternFill patternType="solid">
          <fgColor rgb="FFF6DCD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CD1"/>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6DCD8"/>
      <rgbColor rgb="FF3366FF"/>
      <rgbColor rgb="FF33CCCC"/>
      <rgbColor rgb="FF99CC00"/>
      <rgbColor rgb="FFFFCC00"/>
      <rgbColor rgb="FFFF9900"/>
      <rgbColor rgb="FFFF6600"/>
      <rgbColor rgb="FF666699"/>
      <rgbColor rgb="FF969696"/>
      <rgbColor rgb="FF003366"/>
      <rgbColor rgb="FF339966"/>
      <rgbColor rgb="FF0E1A2B"/>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23.85" hidden="false" customHeight="false" outlineLevel="0" collapsed="false">
      <c r="A5" s="2" t="s">
        <v>5</v>
      </c>
      <c r="B5" s="3" t="s">
        <v>6</v>
      </c>
    </row>
    <row r="6" customFormat="false" ht="23.85" hidden="false" customHeight="false" outlineLevel="0" collapsed="false">
      <c r="A6" s="2" t="s">
        <v>7</v>
      </c>
      <c r="B6" s="3" t="s">
        <v>8</v>
      </c>
    </row>
    <row r="7" customFormat="false" ht="23.85" hidden="false" customHeight="false" outlineLevel="0" collapsed="false">
      <c r="A7" s="2" t="s">
        <v>9</v>
      </c>
      <c r="B7" s="3" t="s">
        <v>10</v>
      </c>
    </row>
    <row r="8" customFormat="false" ht="15" hidden="false" customHeight="false" outlineLevel="0" collapsed="false">
      <c r="A8" s="2" t="s">
        <v>11</v>
      </c>
      <c r="B8" s="4" t="s">
        <v>12</v>
      </c>
    </row>
    <row r="9" customFormat="false" ht="15" hidden="false" customHeight="false" outlineLevel="0" collapsed="false">
      <c r="A9" s="2" t="s">
        <v>13</v>
      </c>
      <c r="B9" s="5" t="s">
        <v>14</v>
      </c>
    </row>
    <row r="10" customFormat="false" ht="23.85" hidden="false" customHeight="false" outlineLevel="0" collapsed="false">
      <c r="A10" s="2" t="s">
        <v>15</v>
      </c>
      <c r="B10" s="3" t="s">
        <v>16</v>
      </c>
    </row>
    <row r="11" customFormat="false" ht="15" hidden="false" customHeight="false" outlineLevel="0" collapsed="false">
      <c r="A11" s="2" t="s">
        <v>17</v>
      </c>
      <c r="B11" s="3"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24"/>
    <col collapsed="false" customWidth="true" hidden="false" outlineLevel="0" max="3" min="3" style="0" width="12"/>
    <col collapsed="false" customWidth="true" hidden="false" outlineLevel="0" max="4" min="4" style="0" width="22"/>
    <col collapsed="false" customWidth="true" hidden="false" outlineLevel="0" max="5" min="5" style="0" width="9"/>
    <col collapsed="false" customWidth="true" hidden="false" outlineLevel="0" max="6" min="6" style="0" width="20"/>
    <col collapsed="false" customWidth="true" hidden="false" outlineLevel="0" max="7" min="7" style="0" width="30"/>
    <col collapsed="false" customWidth="true" hidden="false" outlineLevel="0" max="8" min="8" style="0" width="9"/>
    <col collapsed="false" customWidth="true" hidden="false" outlineLevel="0" max="9" min="9" style="0" width="30"/>
    <col collapsed="false" customWidth="true" hidden="false" outlineLevel="0" max="10" min="10" style="0" width="40"/>
    <col collapsed="false" customWidth="true" hidden="false" outlineLevel="0" max="11" min="11" style="0" width="50"/>
    <col collapsed="false" customWidth="true" hidden="false" outlineLevel="0" max="12" min="12" style="0" width="22"/>
    <col collapsed="false" customWidth="true" hidden="false" outlineLevel="0" max="13" min="13" style="0" width="14"/>
    <col collapsed="false" customWidth="true" hidden="false" outlineLevel="0" max="15" min="14" style="0" width="30"/>
    <col collapsed="false" customWidth="true" hidden="false" outlineLevel="0" max="16" min="16" style="0" width="50"/>
    <col collapsed="false" customWidth="true" hidden="false" outlineLevel="0" max="17" min="17" style="0" width="14"/>
    <col collapsed="false" customWidth="true" hidden="false" outlineLevel="0" max="18" min="18" style="0" width="12"/>
    <col collapsed="false" customWidth="true" hidden="false" outlineLevel="0" max="19" min="19" style="0" width="18"/>
    <col collapsed="false" customWidth="true" hidden="false" outlineLevel="0" max="20" min="20" style="0" width="14"/>
    <col collapsed="false" customWidth="true" hidden="false" outlineLevel="0" max="21" min="21" style="0" width="18"/>
    <col collapsed="false" customWidth="true" hidden="false" outlineLevel="0" max="22" min="22" style="0" width="20"/>
    <col collapsed="false" customWidth="true" hidden="false" outlineLevel="0" max="23" min="23" style="0" width="34"/>
    <col collapsed="false" customWidth="true" hidden="false" outlineLevel="0" max="24" min="24" style="0" width="10"/>
    <col collapsed="false" customWidth="true" hidden="false" outlineLevel="0" max="25" min="25" style="0" width="66"/>
    <col collapsed="false" customWidth="true" hidden="false" outlineLevel="0" max="26" min="26" style="0" width="12"/>
    <col collapsed="false" customWidth="true" hidden="false" outlineLevel="0" max="28" min="27" style="0" width="50"/>
  </cols>
  <sheetData>
    <row r="1" customFormat="false" ht="46.25" hidden="false" customHeight="false" outlineLevel="0" collapsed="false">
      <c r="A1" s="6" t="s">
        <v>19</v>
      </c>
      <c r="B1" s="6" t="s">
        <v>20</v>
      </c>
      <c r="C1" s="6" t="s">
        <v>21</v>
      </c>
      <c r="D1" s="6" t="s">
        <v>22</v>
      </c>
      <c r="E1" s="6" t="s">
        <v>23</v>
      </c>
      <c r="F1" s="6" t="s">
        <v>24</v>
      </c>
      <c r="G1" s="6" t="s">
        <v>25</v>
      </c>
      <c r="H1" s="6" t="s">
        <v>26</v>
      </c>
      <c r="I1" s="6" t="s">
        <v>27</v>
      </c>
      <c r="J1" s="6" t="s">
        <v>28</v>
      </c>
      <c r="K1" s="6" t="s">
        <v>29</v>
      </c>
      <c r="L1" s="6" t="s">
        <v>30</v>
      </c>
      <c r="M1" s="6" t="s">
        <v>31</v>
      </c>
      <c r="N1" s="6" t="s">
        <v>32</v>
      </c>
      <c r="O1" s="6" t="s">
        <v>33</v>
      </c>
      <c r="P1" s="6" t="s">
        <v>34</v>
      </c>
      <c r="Q1" s="6" t="s">
        <v>35</v>
      </c>
      <c r="R1" s="6" t="s">
        <v>36</v>
      </c>
      <c r="S1" s="6" t="s">
        <v>37</v>
      </c>
      <c r="T1" s="6" t="s">
        <v>38</v>
      </c>
      <c r="U1" s="6" t="s">
        <v>39</v>
      </c>
      <c r="V1" s="6" t="s">
        <v>40</v>
      </c>
      <c r="W1" s="6" t="s">
        <v>41</v>
      </c>
      <c r="X1" s="6" t="s">
        <v>42</v>
      </c>
      <c r="Y1" s="6" t="s">
        <v>43</v>
      </c>
      <c r="Z1" s="6" t="s">
        <v>44</v>
      </c>
      <c r="AA1" s="6" t="s">
        <v>45</v>
      </c>
      <c r="AB1" s="6" t="s">
        <v>46</v>
      </c>
    </row>
    <row r="2" customFormat="false" ht="23.85" hidden="false" customHeight="false" outlineLevel="0" collapsed="false">
      <c r="A2" s="7" t="s">
        <v>47</v>
      </c>
      <c r="B2" s="7" t="s">
        <v>48</v>
      </c>
      <c r="C2" s="7" t="s">
        <v>49</v>
      </c>
      <c r="D2" s="7" t="s">
        <v>50</v>
      </c>
      <c r="E2" s="7" t="n">
        <v>18</v>
      </c>
      <c r="F2" s="8" t="n">
        <v>100000000</v>
      </c>
      <c r="G2" s="9" t="s">
        <v>51</v>
      </c>
      <c r="H2" s="7" t="n">
        <v>0</v>
      </c>
      <c r="I2" s="7" t="s">
        <v>52</v>
      </c>
      <c r="J2" s="7" t="s">
        <v>53</v>
      </c>
      <c r="K2" s="3" t="s">
        <v>54</v>
      </c>
      <c r="L2" s="7" t="n">
        <v>1</v>
      </c>
      <c r="M2" s="10" t="n">
        <f aca="false">S2/F2</f>
        <v>1</v>
      </c>
      <c r="N2" s="3" t="s">
        <v>55</v>
      </c>
      <c r="O2" s="7" t="s">
        <v>56</v>
      </c>
      <c r="P2" s="3" t="s">
        <v>57</v>
      </c>
      <c r="Q2" s="9" t="s">
        <v>11</v>
      </c>
      <c r="R2" s="4" t="s">
        <v>11</v>
      </c>
      <c r="S2" s="11" t="n">
        <v>100000000</v>
      </c>
      <c r="T2" s="12" t="n">
        <v>1</v>
      </c>
      <c r="U2" s="11"/>
      <c r="V2" s="11"/>
      <c r="W2" s="13" t="s">
        <v>57</v>
      </c>
      <c r="X2" s="13" t="n">
        <v>8</v>
      </c>
      <c r="Y2" s="13" t="s">
        <v>58</v>
      </c>
      <c r="Z2" s="13" t="s">
        <v>59</v>
      </c>
      <c r="AA2" s="5" t="s">
        <v>60</v>
      </c>
      <c r="AB2" s="5" t="s">
        <v>57</v>
      </c>
    </row>
    <row r="3" customFormat="false" ht="23.85" hidden="false" customHeight="false" outlineLevel="0" collapsed="false">
      <c r="A3" s="7" t="s">
        <v>61</v>
      </c>
      <c r="B3" s="7" t="s">
        <v>62</v>
      </c>
      <c r="C3" s="7" t="s">
        <v>49</v>
      </c>
      <c r="D3" s="7" t="s">
        <v>50</v>
      </c>
      <c r="E3" s="7" t="n">
        <v>18</v>
      </c>
      <c r="F3" s="8" t="n">
        <v>500000000</v>
      </c>
      <c r="G3" s="9" t="s">
        <v>51</v>
      </c>
      <c r="H3" s="7" t="n">
        <v>0</v>
      </c>
      <c r="I3" s="7" t="s">
        <v>52</v>
      </c>
      <c r="J3" s="7" t="s">
        <v>53</v>
      </c>
      <c r="K3" s="3" t="s">
        <v>63</v>
      </c>
      <c r="L3" s="7" t="n">
        <v>3</v>
      </c>
      <c r="M3" s="10" t="n">
        <f aca="false">S3/F3</f>
        <v>1</v>
      </c>
      <c r="N3" s="3" t="s">
        <v>64</v>
      </c>
      <c r="O3" s="7" t="s">
        <v>56</v>
      </c>
      <c r="P3" s="3" t="s">
        <v>57</v>
      </c>
      <c r="Q3" s="9" t="s">
        <v>11</v>
      </c>
      <c r="R3" s="4" t="s">
        <v>11</v>
      </c>
      <c r="S3" s="11" t="n">
        <v>500000000</v>
      </c>
      <c r="T3" s="12" t="n">
        <v>1</v>
      </c>
      <c r="U3" s="11"/>
      <c r="V3" s="11"/>
      <c r="W3" s="13" t="s">
        <v>65</v>
      </c>
      <c r="X3" s="13" t="n">
        <v>3</v>
      </c>
      <c r="Y3" s="13" t="s">
        <v>66</v>
      </c>
      <c r="Z3" s="13" t="s">
        <v>67</v>
      </c>
      <c r="AA3" s="5" t="s">
        <v>68</v>
      </c>
      <c r="AB3" s="5" t="s">
        <v>57</v>
      </c>
    </row>
    <row r="4" customFormat="false" ht="23.85" hidden="false" customHeight="false" outlineLevel="0" collapsed="false">
      <c r="A4" s="7" t="s">
        <v>69</v>
      </c>
      <c r="B4" s="7" t="s">
        <v>70</v>
      </c>
      <c r="C4" s="7" t="s">
        <v>71</v>
      </c>
      <c r="D4" s="7" t="s">
        <v>50</v>
      </c>
      <c r="E4" s="7" t="n">
        <v>18</v>
      </c>
      <c r="F4" s="8" t="n">
        <v>33000000</v>
      </c>
      <c r="G4" s="9" t="s">
        <v>51</v>
      </c>
      <c r="H4" s="7" t="n">
        <v>0</v>
      </c>
      <c r="I4" s="7" t="s">
        <v>52</v>
      </c>
      <c r="J4" s="7" t="s">
        <v>53</v>
      </c>
      <c r="K4" s="3" t="s">
        <v>54</v>
      </c>
      <c r="L4" s="7" t="n">
        <v>3</v>
      </c>
      <c r="M4" s="10" t="n">
        <f aca="false">S4/F4</f>
        <v>1</v>
      </c>
      <c r="N4" s="3" t="s">
        <v>55</v>
      </c>
      <c r="O4" s="7" t="s">
        <v>56</v>
      </c>
      <c r="P4" s="3" t="s">
        <v>72</v>
      </c>
      <c r="Q4" s="9" t="s">
        <v>11</v>
      </c>
      <c r="R4" s="4" t="s">
        <v>11</v>
      </c>
      <c r="S4" s="11" t="n">
        <v>33000000</v>
      </c>
      <c r="T4" s="12" t="n">
        <v>1</v>
      </c>
      <c r="U4" s="11"/>
      <c r="V4" s="11"/>
      <c r="W4" s="13" t="s">
        <v>57</v>
      </c>
      <c r="X4" s="13" t="n">
        <v>8</v>
      </c>
      <c r="Y4" s="13" t="s">
        <v>58</v>
      </c>
      <c r="Z4" s="13" t="s">
        <v>67</v>
      </c>
      <c r="AA4" s="5" t="s">
        <v>73</v>
      </c>
      <c r="AB4" s="5" t="s">
        <v>57</v>
      </c>
    </row>
    <row r="5" customFormat="false" ht="23.85" hidden="false" customHeight="false" outlineLevel="0" collapsed="false">
      <c r="A5" s="7" t="s">
        <v>74</v>
      </c>
      <c r="B5" s="7" t="s">
        <v>75</v>
      </c>
      <c r="C5" s="7" t="s">
        <v>76</v>
      </c>
      <c r="D5" s="7" t="s">
        <v>50</v>
      </c>
      <c r="E5" s="7" t="n">
        <v>18</v>
      </c>
      <c r="F5" s="8" t="n">
        <v>21000000</v>
      </c>
      <c r="G5" s="9" t="s">
        <v>51</v>
      </c>
      <c r="H5" s="7" t="n">
        <v>0</v>
      </c>
      <c r="I5" s="7" t="s">
        <v>52</v>
      </c>
      <c r="J5" s="7" t="s">
        <v>53</v>
      </c>
      <c r="K5" s="3" t="s">
        <v>54</v>
      </c>
      <c r="L5" s="7" t="n">
        <v>3</v>
      </c>
      <c r="M5" s="10" t="n">
        <f aca="false">S5/F5</f>
        <v>1</v>
      </c>
      <c r="N5" s="3" t="s">
        <v>55</v>
      </c>
      <c r="O5" s="7" t="s">
        <v>56</v>
      </c>
      <c r="P5" s="3" t="s">
        <v>77</v>
      </c>
      <c r="Q5" s="9" t="s">
        <v>11</v>
      </c>
      <c r="R5" s="4" t="s">
        <v>11</v>
      </c>
      <c r="S5" s="11" t="n">
        <v>21000000</v>
      </c>
      <c r="T5" s="12" t="n">
        <v>1</v>
      </c>
      <c r="U5" s="11"/>
      <c r="V5" s="11"/>
      <c r="W5" s="13" t="s">
        <v>57</v>
      </c>
      <c r="X5" s="13" t="n">
        <v>8</v>
      </c>
      <c r="Y5" s="13" t="s">
        <v>58</v>
      </c>
      <c r="Z5" s="13" t="s">
        <v>67</v>
      </c>
      <c r="AA5" s="5" t="s">
        <v>73</v>
      </c>
      <c r="AB5" s="5" t="s">
        <v>57</v>
      </c>
    </row>
    <row r="6" customFormat="false" ht="23.85" hidden="false" customHeight="false" outlineLevel="0" collapsed="false">
      <c r="A6" s="7" t="s">
        <v>78</v>
      </c>
      <c r="B6" s="7" t="s">
        <v>79</v>
      </c>
      <c r="C6" s="7" t="s">
        <v>80</v>
      </c>
      <c r="D6" s="7" t="s">
        <v>50</v>
      </c>
      <c r="E6" s="7" t="n">
        <v>18</v>
      </c>
      <c r="F6" s="8" t="n">
        <v>77000000</v>
      </c>
      <c r="G6" s="9" t="s">
        <v>51</v>
      </c>
      <c r="H6" s="7" t="n">
        <v>0</v>
      </c>
      <c r="I6" s="7" t="s">
        <v>52</v>
      </c>
      <c r="J6" s="7" t="s">
        <v>53</v>
      </c>
      <c r="K6" s="3" t="s">
        <v>54</v>
      </c>
      <c r="L6" s="7" t="n">
        <v>3</v>
      </c>
      <c r="M6" s="10" t="n">
        <f aca="false">S6/F6</f>
        <v>1</v>
      </c>
      <c r="N6" s="3" t="s">
        <v>55</v>
      </c>
      <c r="O6" s="7" t="s">
        <v>56</v>
      </c>
      <c r="P6" s="3" t="s">
        <v>77</v>
      </c>
      <c r="Q6" s="9" t="s">
        <v>11</v>
      </c>
      <c r="R6" s="4" t="s">
        <v>11</v>
      </c>
      <c r="S6" s="11" t="n">
        <v>77000000</v>
      </c>
      <c r="T6" s="12" t="n">
        <v>1</v>
      </c>
      <c r="U6" s="11"/>
      <c r="V6" s="11"/>
      <c r="W6" s="13" t="s">
        <v>57</v>
      </c>
      <c r="X6" s="13" t="n">
        <v>8</v>
      </c>
      <c r="Y6" s="13" t="s">
        <v>58</v>
      </c>
      <c r="Z6" s="13" t="s">
        <v>67</v>
      </c>
      <c r="AA6" s="5" t="s">
        <v>73</v>
      </c>
      <c r="AB6" s="5" t="s">
        <v>57</v>
      </c>
    </row>
    <row r="7" customFormat="false" ht="23.85" hidden="false" customHeight="false" outlineLevel="0" collapsed="false">
      <c r="A7" s="7" t="s">
        <v>81</v>
      </c>
      <c r="B7" s="7" t="s">
        <v>82</v>
      </c>
      <c r="C7" s="7" t="s">
        <v>82</v>
      </c>
      <c r="D7" s="7" t="s">
        <v>50</v>
      </c>
      <c r="E7" s="7" t="n">
        <v>18</v>
      </c>
      <c r="F7" s="8" t="n">
        <v>1E+026</v>
      </c>
      <c r="G7" s="9" t="s">
        <v>51</v>
      </c>
      <c r="H7" s="7" t="n">
        <v>0</v>
      </c>
      <c r="I7" s="7" t="s">
        <v>52</v>
      </c>
      <c r="J7" s="7" t="s">
        <v>53</v>
      </c>
      <c r="K7" s="3" t="s">
        <v>54</v>
      </c>
      <c r="L7" s="7" t="n">
        <v>1</v>
      </c>
      <c r="M7" s="10" t="n">
        <f aca="false">S7/F7</f>
        <v>1</v>
      </c>
      <c r="N7" s="3" t="s">
        <v>55</v>
      </c>
      <c r="O7" s="7" t="s">
        <v>56</v>
      </c>
      <c r="P7" s="3" t="s">
        <v>57</v>
      </c>
      <c r="Q7" s="9" t="s">
        <v>11</v>
      </c>
      <c r="R7" s="4" t="s">
        <v>11</v>
      </c>
      <c r="S7" s="11" t="n">
        <v>1E+026</v>
      </c>
      <c r="T7" s="12" t="n">
        <v>1</v>
      </c>
      <c r="U7" s="11"/>
      <c r="V7" s="11" t="n">
        <v>1E+026</v>
      </c>
      <c r="W7" s="13" t="s">
        <v>57</v>
      </c>
      <c r="X7" s="13" t="n">
        <v>0</v>
      </c>
      <c r="Y7" s="13" t="s">
        <v>83</v>
      </c>
      <c r="Z7" s="13" t="s">
        <v>59</v>
      </c>
      <c r="AA7" s="5" t="s">
        <v>84</v>
      </c>
      <c r="AB7" s="5" t="s">
        <v>57</v>
      </c>
    </row>
    <row r="8" customFormat="false" ht="15" hidden="false" customHeight="false" outlineLevel="0" collapsed="false">
      <c r="A8" s="7" t="s">
        <v>85</v>
      </c>
      <c r="B8" s="7" t="s">
        <v>82</v>
      </c>
      <c r="C8" s="7" t="s">
        <v>82</v>
      </c>
      <c r="D8" s="7" t="s">
        <v>50</v>
      </c>
      <c r="E8" s="7" t="n">
        <v>18</v>
      </c>
      <c r="F8" s="8" t="n">
        <v>100000000</v>
      </c>
      <c r="G8" s="9" t="s">
        <v>51</v>
      </c>
      <c r="H8" s="7" t="n">
        <v>0</v>
      </c>
      <c r="I8" s="7" t="s">
        <v>52</v>
      </c>
      <c r="J8" s="7" t="s">
        <v>53</v>
      </c>
      <c r="K8" s="3" t="s">
        <v>54</v>
      </c>
      <c r="L8" s="7" t="n">
        <v>3</v>
      </c>
      <c r="M8" s="10" t="n">
        <f aca="false">S8/F8</f>
        <v>1</v>
      </c>
      <c r="N8" s="3" t="s">
        <v>86</v>
      </c>
      <c r="O8" s="7" t="s">
        <v>56</v>
      </c>
      <c r="P8" s="3" t="s">
        <v>57</v>
      </c>
      <c r="Q8" s="9" t="s">
        <v>11</v>
      </c>
      <c r="R8" s="4" t="s">
        <v>11</v>
      </c>
      <c r="S8" s="11" t="n">
        <v>100000000</v>
      </c>
      <c r="T8" s="12" t="n">
        <v>1</v>
      </c>
      <c r="U8" s="11"/>
      <c r="V8" s="11"/>
      <c r="W8" s="13" t="s">
        <v>57</v>
      </c>
      <c r="X8" s="13" t="n">
        <v>0</v>
      </c>
      <c r="Y8" s="13" t="s">
        <v>87</v>
      </c>
      <c r="Z8" s="13" t="s">
        <v>67</v>
      </c>
      <c r="AA8" s="5" t="s">
        <v>88</v>
      </c>
      <c r="AB8" s="5" t="s">
        <v>57</v>
      </c>
    </row>
    <row r="9" customFormat="false" ht="23.85" hidden="false" customHeight="false" outlineLevel="0" collapsed="false">
      <c r="A9" s="7" t="s">
        <v>89</v>
      </c>
      <c r="B9" s="7" t="s">
        <v>90</v>
      </c>
      <c r="C9" s="7" t="s">
        <v>91</v>
      </c>
      <c r="D9" s="7" t="s">
        <v>50</v>
      </c>
      <c r="E9" s="7" t="n">
        <v>18</v>
      </c>
      <c r="F9" s="8" t="n">
        <v>55000000</v>
      </c>
      <c r="G9" s="9" t="s">
        <v>51</v>
      </c>
      <c r="H9" s="7" t="n">
        <v>0</v>
      </c>
      <c r="I9" s="7" t="s">
        <v>52</v>
      </c>
      <c r="J9" s="7" t="s">
        <v>53</v>
      </c>
      <c r="K9" s="3" t="s">
        <v>63</v>
      </c>
      <c r="L9" s="7" t="s">
        <v>92</v>
      </c>
      <c r="M9" s="10" t="n">
        <f aca="false">S9/F9</f>
        <v>0.999821224501229</v>
      </c>
      <c r="N9" s="3" t="s">
        <v>93</v>
      </c>
      <c r="O9" s="7" t="s">
        <v>56</v>
      </c>
      <c r="P9" s="3" t="s">
        <v>94</v>
      </c>
      <c r="Q9" s="9" t="s">
        <v>11</v>
      </c>
      <c r="R9" s="4" t="s">
        <v>11</v>
      </c>
      <c r="S9" s="11" t="n">
        <v>54990167.3475676</v>
      </c>
      <c r="T9" s="12" t="n">
        <v>0.999821399818182</v>
      </c>
      <c r="U9" s="11" t="n">
        <v>9823.01</v>
      </c>
      <c r="V9" s="11"/>
      <c r="W9" s="13" t="s">
        <v>65</v>
      </c>
      <c r="X9" s="13" t="n">
        <v>3</v>
      </c>
      <c r="Y9" s="13" t="s">
        <v>66</v>
      </c>
      <c r="Z9" s="13" t="s">
        <v>67</v>
      </c>
      <c r="AA9" s="5" t="s">
        <v>95</v>
      </c>
      <c r="AB9" s="5" t="s">
        <v>57</v>
      </c>
    </row>
    <row r="10" customFormat="false" ht="23.85" hidden="false" customHeight="false" outlineLevel="0" collapsed="false">
      <c r="A10" s="7" t="s">
        <v>96</v>
      </c>
      <c r="B10" s="7" t="s">
        <v>97</v>
      </c>
      <c r="C10" s="7" t="s">
        <v>98</v>
      </c>
      <c r="D10" s="7" t="s">
        <v>50</v>
      </c>
      <c r="E10" s="7" t="n">
        <v>18</v>
      </c>
      <c r="F10" s="8" t="n">
        <v>0</v>
      </c>
      <c r="G10" s="9" t="s">
        <v>51</v>
      </c>
      <c r="H10" s="7" t="n">
        <v>0</v>
      </c>
      <c r="I10" s="7" t="s">
        <v>52</v>
      </c>
      <c r="J10" s="7" t="s">
        <v>53</v>
      </c>
      <c r="K10" s="3" t="s">
        <v>99</v>
      </c>
      <c r="L10" s="7" t="n">
        <v>0</v>
      </c>
      <c r="M10" s="7" t="s">
        <v>11</v>
      </c>
      <c r="N10" s="3" t="s">
        <v>55</v>
      </c>
      <c r="O10" s="7" t="s">
        <v>56</v>
      </c>
      <c r="P10" s="3" t="s">
        <v>57</v>
      </c>
      <c r="Q10" s="9" t="s">
        <v>11</v>
      </c>
      <c r="R10" s="4" t="s">
        <v>11</v>
      </c>
      <c r="S10" s="11" t="n">
        <v>0</v>
      </c>
      <c r="T10" s="12"/>
      <c r="U10" s="11"/>
      <c r="V10" s="11"/>
      <c r="W10" s="13" t="s">
        <v>100</v>
      </c>
      <c r="X10" s="13" t="n">
        <v>4</v>
      </c>
      <c r="Y10" s="13" t="s">
        <v>101</v>
      </c>
      <c r="Z10" s="13" t="s">
        <v>59</v>
      </c>
      <c r="AA10" s="5" t="s">
        <v>102</v>
      </c>
      <c r="AB10" s="5" t="s">
        <v>57</v>
      </c>
    </row>
    <row r="11" customFormat="false" ht="23.85" hidden="false" customHeight="false" outlineLevel="0" collapsed="false">
      <c r="A11" s="7" t="s">
        <v>103</v>
      </c>
      <c r="B11" s="7" t="s">
        <v>97</v>
      </c>
      <c r="C11" s="7" t="s">
        <v>98</v>
      </c>
      <c r="D11" s="7" t="s">
        <v>50</v>
      </c>
      <c r="E11" s="7" t="n">
        <v>18</v>
      </c>
      <c r="F11" s="8" t="n">
        <v>0</v>
      </c>
      <c r="G11" s="9" t="s">
        <v>51</v>
      </c>
      <c r="H11" s="7" t="n">
        <v>0</v>
      </c>
      <c r="I11" s="7" t="s">
        <v>52</v>
      </c>
      <c r="J11" s="7" t="s">
        <v>53</v>
      </c>
      <c r="K11" s="3" t="s">
        <v>99</v>
      </c>
      <c r="L11" s="7" t="n">
        <v>0</v>
      </c>
      <c r="M11" s="7" t="s">
        <v>11</v>
      </c>
      <c r="N11" s="3" t="s">
        <v>55</v>
      </c>
      <c r="O11" s="7" t="s">
        <v>56</v>
      </c>
      <c r="P11" s="3" t="s">
        <v>57</v>
      </c>
      <c r="Q11" s="9" t="s">
        <v>11</v>
      </c>
      <c r="R11" s="4" t="s">
        <v>11</v>
      </c>
      <c r="S11" s="11" t="n">
        <v>0</v>
      </c>
      <c r="T11" s="12"/>
      <c r="U11" s="11"/>
      <c r="V11" s="11"/>
      <c r="W11" s="13" t="s">
        <v>100</v>
      </c>
      <c r="X11" s="13" t="n">
        <v>4</v>
      </c>
      <c r="Y11" s="13" t="s">
        <v>101</v>
      </c>
      <c r="Z11" s="13" t="s">
        <v>59</v>
      </c>
      <c r="AA11" s="5" t="s">
        <v>102</v>
      </c>
      <c r="AB11" s="5" t="s">
        <v>57</v>
      </c>
    </row>
    <row r="12" customFormat="false" ht="23.85" hidden="false" customHeight="false" outlineLevel="0" collapsed="false">
      <c r="A12" s="7" t="s">
        <v>104</v>
      </c>
      <c r="B12" s="7" t="s">
        <v>97</v>
      </c>
      <c r="C12" s="7" t="s">
        <v>98</v>
      </c>
      <c r="D12" s="7" t="s">
        <v>50</v>
      </c>
      <c r="E12" s="7" t="n">
        <v>18</v>
      </c>
      <c r="F12" s="8" t="n">
        <v>0</v>
      </c>
      <c r="G12" s="9" t="s">
        <v>51</v>
      </c>
      <c r="H12" s="7" t="n">
        <v>0</v>
      </c>
      <c r="I12" s="7" t="s">
        <v>52</v>
      </c>
      <c r="J12" s="7" t="s">
        <v>53</v>
      </c>
      <c r="K12" s="3" t="s">
        <v>99</v>
      </c>
      <c r="L12" s="7" t="n">
        <v>0</v>
      </c>
      <c r="M12" s="7" t="s">
        <v>11</v>
      </c>
      <c r="N12" s="3" t="s">
        <v>55</v>
      </c>
      <c r="O12" s="7" t="s">
        <v>56</v>
      </c>
      <c r="P12" s="3" t="s">
        <v>57</v>
      </c>
      <c r="Q12" s="9" t="s">
        <v>11</v>
      </c>
      <c r="R12" s="4" t="s">
        <v>11</v>
      </c>
      <c r="S12" s="11" t="n">
        <v>0</v>
      </c>
      <c r="T12" s="12"/>
      <c r="U12" s="11"/>
      <c r="V12" s="11"/>
      <c r="W12" s="13" t="s">
        <v>100</v>
      </c>
      <c r="X12" s="13" t="n">
        <v>4</v>
      </c>
      <c r="Y12" s="13" t="s">
        <v>101</v>
      </c>
      <c r="Z12" s="13" t="s">
        <v>59</v>
      </c>
      <c r="AA12" s="5" t="s">
        <v>102</v>
      </c>
      <c r="AB12" s="5" t="s">
        <v>57</v>
      </c>
    </row>
    <row r="13" customFormat="false" ht="23.85" hidden="false" customHeight="false" outlineLevel="0" collapsed="false">
      <c r="A13" s="7" t="s">
        <v>105</v>
      </c>
      <c r="B13" s="7" t="s">
        <v>97</v>
      </c>
      <c r="C13" s="7" t="s">
        <v>98</v>
      </c>
      <c r="D13" s="7" t="s">
        <v>50</v>
      </c>
      <c r="E13" s="7" t="n">
        <v>18</v>
      </c>
      <c r="F13" s="8" t="n">
        <v>0</v>
      </c>
      <c r="G13" s="9" t="s">
        <v>51</v>
      </c>
      <c r="H13" s="7" t="n">
        <v>0</v>
      </c>
      <c r="I13" s="7" t="s">
        <v>52</v>
      </c>
      <c r="J13" s="7" t="s">
        <v>53</v>
      </c>
      <c r="K13" s="3" t="s">
        <v>106</v>
      </c>
      <c r="L13" s="7" t="n">
        <v>0</v>
      </c>
      <c r="M13" s="7" t="s">
        <v>11</v>
      </c>
      <c r="N13" s="3" t="s">
        <v>55</v>
      </c>
      <c r="O13" s="7" t="s">
        <v>56</v>
      </c>
      <c r="P13" s="3" t="s">
        <v>57</v>
      </c>
      <c r="Q13" s="9" t="s">
        <v>11</v>
      </c>
      <c r="R13" s="4" t="s">
        <v>11</v>
      </c>
      <c r="S13" s="11" t="n">
        <v>0</v>
      </c>
      <c r="T13" s="12"/>
      <c r="U13" s="11"/>
      <c r="V13" s="11"/>
      <c r="W13" s="13" t="s">
        <v>100</v>
      </c>
      <c r="X13" s="13" t="n">
        <v>4</v>
      </c>
      <c r="Y13" s="13" t="s">
        <v>101</v>
      </c>
      <c r="Z13" s="13" t="s">
        <v>59</v>
      </c>
      <c r="AA13" s="5" t="s">
        <v>102</v>
      </c>
      <c r="AB13" s="5" t="s">
        <v>57</v>
      </c>
    </row>
    <row r="14" customFormat="false" ht="23.85" hidden="false" customHeight="false" outlineLevel="0" collapsed="false">
      <c r="A14" s="7" t="s">
        <v>107</v>
      </c>
      <c r="B14" s="7" t="s">
        <v>97</v>
      </c>
      <c r="C14" s="7" t="s">
        <v>98</v>
      </c>
      <c r="D14" s="7" t="s">
        <v>50</v>
      </c>
      <c r="E14" s="7" t="n">
        <v>18</v>
      </c>
      <c r="F14" s="8" t="n">
        <v>0</v>
      </c>
      <c r="G14" s="9" t="s">
        <v>51</v>
      </c>
      <c r="H14" s="7" t="n">
        <v>0</v>
      </c>
      <c r="I14" s="7" t="s">
        <v>52</v>
      </c>
      <c r="J14" s="7" t="s">
        <v>53</v>
      </c>
      <c r="K14" s="3" t="s">
        <v>99</v>
      </c>
      <c r="L14" s="7" t="n">
        <v>0</v>
      </c>
      <c r="M14" s="7" t="s">
        <v>11</v>
      </c>
      <c r="N14" s="3" t="s">
        <v>55</v>
      </c>
      <c r="O14" s="7" t="s">
        <v>56</v>
      </c>
      <c r="P14" s="3" t="s">
        <v>57</v>
      </c>
      <c r="Q14" s="9" t="s">
        <v>11</v>
      </c>
      <c r="R14" s="4" t="s">
        <v>11</v>
      </c>
      <c r="S14" s="11" t="n">
        <v>0</v>
      </c>
      <c r="T14" s="12"/>
      <c r="U14" s="11"/>
      <c r="V14" s="11"/>
      <c r="W14" s="13" t="s">
        <v>100</v>
      </c>
      <c r="X14" s="13" t="n">
        <v>4</v>
      </c>
      <c r="Y14" s="13" t="s">
        <v>101</v>
      </c>
      <c r="Z14" s="13" t="s">
        <v>59</v>
      </c>
      <c r="AA14" s="5" t="s">
        <v>102</v>
      </c>
      <c r="AB14" s="5" t="s">
        <v>57</v>
      </c>
    </row>
    <row r="15" customFormat="false" ht="23.85" hidden="false" customHeight="false" outlineLevel="0" collapsed="false">
      <c r="A15" s="7" t="s">
        <v>108</v>
      </c>
      <c r="B15" s="7" t="s">
        <v>109</v>
      </c>
      <c r="C15" s="7" t="s">
        <v>110</v>
      </c>
      <c r="D15" s="7" t="s">
        <v>50</v>
      </c>
      <c r="E15" s="7" t="n">
        <v>18</v>
      </c>
      <c r="F15" s="8" t="n">
        <v>1000000000000</v>
      </c>
      <c r="G15" s="9" t="s">
        <v>51</v>
      </c>
      <c r="H15" s="7" t="n">
        <v>0</v>
      </c>
      <c r="I15" s="7" t="s">
        <v>52</v>
      </c>
      <c r="J15" s="7" t="s">
        <v>53</v>
      </c>
      <c r="K15" s="3" t="s">
        <v>111</v>
      </c>
      <c r="L15" s="7" t="s">
        <v>112</v>
      </c>
      <c r="M15" s="10" t="n">
        <f aca="false">S15/F15</f>
        <v>1</v>
      </c>
      <c r="N15" s="3" t="s">
        <v>55</v>
      </c>
      <c r="O15" s="7" t="s">
        <v>56</v>
      </c>
      <c r="P15" s="3" t="s">
        <v>57</v>
      </c>
      <c r="Q15" s="9" t="s">
        <v>11</v>
      </c>
      <c r="R15" s="4" t="s">
        <v>11</v>
      </c>
      <c r="S15" s="11" t="n">
        <v>1000000000000</v>
      </c>
      <c r="T15" s="12" t="n">
        <v>1</v>
      </c>
      <c r="U15" s="11"/>
      <c r="V15" s="11"/>
      <c r="W15" s="13" t="s">
        <v>113</v>
      </c>
      <c r="X15" s="13" t="n">
        <v>2</v>
      </c>
      <c r="Y15" s="13" t="s">
        <v>114</v>
      </c>
      <c r="Z15" s="13" t="s">
        <v>67</v>
      </c>
      <c r="AA15" s="5" t="s">
        <v>115</v>
      </c>
      <c r="AB15" s="5" t="s">
        <v>57</v>
      </c>
    </row>
    <row r="16" customFormat="false" ht="23.85" hidden="false" customHeight="false" outlineLevel="0" collapsed="false">
      <c r="A16" s="7" t="s">
        <v>116</v>
      </c>
      <c r="B16" s="7" t="s">
        <v>117</v>
      </c>
      <c r="C16" s="7" t="s">
        <v>110</v>
      </c>
      <c r="D16" s="7" t="s">
        <v>50</v>
      </c>
      <c r="E16" s="7" t="n">
        <v>18</v>
      </c>
      <c r="F16" s="8" t="n">
        <v>1E+030</v>
      </c>
      <c r="G16" s="9" t="s">
        <v>51</v>
      </c>
      <c r="H16" s="7" t="n">
        <v>0</v>
      </c>
      <c r="I16" s="7" t="s">
        <v>52</v>
      </c>
      <c r="J16" s="7" t="s">
        <v>53</v>
      </c>
      <c r="K16" s="3" t="s">
        <v>54</v>
      </c>
      <c r="L16" s="7" t="n">
        <v>1</v>
      </c>
      <c r="M16" s="10" t="n">
        <f aca="false">S16/F16</f>
        <v>1</v>
      </c>
      <c r="N16" s="3" t="s">
        <v>55</v>
      </c>
      <c r="O16" s="7" t="s">
        <v>56</v>
      </c>
      <c r="P16" s="3" t="s">
        <v>57</v>
      </c>
      <c r="Q16" s="9" t="s">
        <v>11</v>
      </c>
      <c r="R16" s="4" t="s">
        <v>11</v>
      </c>
      <c r="S16" s="11" t="n">
        <v>1E+030</v>
      </c>
      <c r="T16" s="12" t="n">
        <v>1</v>
      </c>
      <c r="U16" s="11"/>
      <c r="V16" s="11" t="n">
        <v>1E+030</v>
      </c>
      <c r="W16" s="13" t="s">
        <v>57</v>
      </c>
      <c r="X16" s="13" t="n">
        <v>13</v>
      </c>
      <c r="Y16" s="13" t="s">
        <v>118</v>
      </c>
      <c r="Z16" s="13" t="s">
        <v>59</v>
      </c>
      <c r="AA16" s="5" t="s">
        <v>119</v>
      </c>
      <c r="AB16" s="5" t="s">
        <v>57</v>
      </c>
    </row>
    <row r="17" customFormat="false" ht="23.85" hidden="false" customHeight="false" outlineLevel="0" collapsed="false">
      <c r="A17" s="7" t="s">
        <v>120</v>
      </c>
      <c r="B17" s="7" t="s">
        <v>117</v>
      </c>
      <c r="C17" s="7" t="s">
        <v>110</v>
      </c>
      <c r="D17" s="7" t="s">
        <v>50</v>
      </c>
      <c r="E17" s="7" t="n">
        <v>18</v>
      </c>
      <c r="F17" s="8" t="n">
        <v>1E+030</v>
      </c>
      <c r="G17" s="9" t="s">
        <v>51</v>
      </c>
      <c r="H17" s="7" t="n">
        <v>0</v>
      </c>
      <c r="I17" s="7" t="s">
        <v>52</v>
      </c>
      <c r="J17" s="7" t="s">
        <v>53</v>
      </c>
      <c r="K17" s="3" t="s">
        <v>54</v>
      </c>
      <c r="L17" s="7" t="n">
        <v>1</v>
      </c>
      <c r="M17" s="10" t="n">
        <f aca="false">S17/F17</f>
        <v>1</v>
      </c>
      <c r="N17" s="3" t="s">
        <v>55</v>
      </c>
      <c r="O17" s="7" t="s">
        <v>56</v>
      </c>
      <c r="P17" s="3" t="s">
        <v>57</v>
      </c>
      <c r="Q17" s="9" t="s">
        <v>11</v>
      </c>
      <c r="R17" s="4" t="s">
        <v>11</v>
      </c>
      <c r="S17" s="11" t="n">
        <v>1E+030</v>
      </c>
      <c r="T17" s="12" t="n">
        <v>1</v>
      </c>
      <c r="U17" s="11"/>
      <c r="V17" s="11" t="n">
        <v>1E+030</v>
      </c>
      <c r="W17" s="13" t="s">
        <v>57</v>
      </c>
      <c r="X17" s="13" t="n">
        <v>13</v>
      </c>
      <c r="Y17" s="13" t="s">
        <v>118</v>
      </c>
      <c r="Z17" s="13" t="s">
        <v>59</v>
      </c>
      <c r="AA17" s="5" t="s">
        <v>119</v>
      </c>
      <c r="AB17" s="5" t="s">
        <v>57</v>
      </c>
    </row>
    <row r="18" customFormat="false" ht="23.85" hidden="false" customHeight="false" outlineLevel="0" collapsed="false">
      <c r="A18" s="7" t="s">
        <v>121</v>
      </c>
      <c r="B18" s="7" t="s">
        <v>117</v>
      </c>
      <c r="C18" s="7" t="s">
        <v>110</v>
      </c>
      <c r="D18" s="7" t="s">
        <v>50</v>
      </c>
      <c r="E18" s="7" t="n">
        <v>18</v>
      </c>
      <c r="F18" s="8" t="n">
        <v>1E+030</v>
      </c>
      <c r="G18" s="9" t="s">
        <v>51</v>
      </c>
      <c r="H18" s="7" t="n">
        <v>0</v>
      </c>
      <c r="I18" s="7" t="s">
        <v>52</v>
      </c>
      <c r="J18" s="7" t="s">
        <v>53</v>
      </c>
      <c r="K18" s="3" t="s">
        <v>54</v>
      </c>
      <c r="L18" s="7" t="n">
        <v>1</v>
      </c>
      <c r="M18" s="10" t="n">
        <f aca="false">S18/F18</f>
        <v>1</v>
      </c>
      <c r="N18" s="3" t="s">
        <v>55</v>
      </c>
      <c r="O18" s="7" t="s">
        <v>56</v>
      </c>
      <c r="P18" s="3" t="s">
        <v>57</v>
      </c>
      <c r="Q18" s="9" t="s">
        <v>11</v>
      </c>
      <c r="R18" s="4" t="s">
        <v>11</v>
      </c>
      <c r="S18" s="11" t="n">
        <v>1E+030</v>
      </c>
      <c r="T18" s="12" t="n">
        <v>1</v>
      </c>
      <c r="U18" s="11"/>
      <c r="V18" s="11" t="n">
        <v>1E+030</v>
      </c>
      <c r="W18" s="13" t="s">
        <v>57</v>
      </c>
      <c r="X18" s="13" t="n">
        <v>13</v>
      </c>
      <c r="Y18" s="13" t="s">
        <v>118</v>
      </c>
      <c r="Z18" s="13" t="s">
        <v>59</v>
      </c>
      <c r="AA18" s="5" t="s">
        <v>119</v>
      </c>
      <c r="AB18" s="5" t="s">
        <v>57</v>
      </c>
    </row>
    <row r="19" customFormat="false" ht="23.85" hidden="false" customHeight="false" outlineLevel="0" collapsed="false">
      <c r="A19" s="7" t="s">
        <v>122</v>
      </c>
      <c r="B19" s="7" t="s">
        <v>117</v>
      </c>
      <c r="C19" s="7" t="s">
        <v>110</v>
      </c>
      <c r="D19" s="7" t="s">
        <v>50</v>
      </c>
      <c r="E19" s="7" t="n">
        <v>18</v>
      </c>
      <c r="F19" s="8" t="n">
        <v>1E+026</v>
      </c>
      <c r="G19" s="9" t="s">
        <v>51</v>
      </c>
      <c r="H19" s="7" t="n">
        <v>0</v>
      </c>
      <c r="I19" s="7" t="s">
        <v>52</v>
      </c>
      <c r="J19" s="7" t="s">
        <v>53</v>
      </c>
      <c r="K19" s="3" t="s">
        <v>54</v>
      </c>
      <c r="L19" s="7" t="n">
        <v>1</v>
      </c>
      <c r="M19" s="10" t="n">
        <f aca="false">S19/F19</f>
        <v>1</v>
      </c>
      <c r="N19" s="3" t="s">
        <v>55</v>
      </c>
      <c r="O19" s="7" t="s">
        <v>56</v>
      </c>
      <c r="P19" s="3" t="s">
        <v>57</v>
      </c>
      <c r="Q19" s="9" t="s">
        <v>11</v>
      </c>
      <c r="R19" s="4" t="s">
        <v>11</v>
      </c>
      <c r="S19" s="11" t="n">
        <v>1E+026</v>
      </c>
      <c r="T19" s="12" t="n">
        <v>1</v>
      </c>
      <c r="U19" s="11"/>
      <c r="V19" s="11" t="n">
        <v>1E+026</v>
      </c>
      <c r="W19" s="13" t="s">
        <v>57</v>
      </c>
      <c r="X19" s="13" t="n">
        <v>13</v>
      </c>
      <c r="Y19" s="13" t="s">
        <v>118</v>
      </c>
      <c r="Z19" s="13" t="s">
        <v>59</v>
      </c>
      <c r="AA19" s="5" t="s">
        <v>119</v>
      </c>
      <c r="AB19" s="5" t="s">
        <v>57</v>
      </c>
    </row>
    <row r="20" customFormat="false" ht="23.85" hidden="false" customHeight="false" outlineLevel="0" collapsed="false">
      <c r="A20" s="7" t="s">
        <v>123</v>
      </c>
      <c r="B20" s="7" t="s">
        <v>117</v>
      </c>
      <c r="C20" s="7" t="s">
        <v>110</v>
      </c>
      <c r="D20" s="7" t="s">
        <v>50</v>
      </c>
      <c r="E20" s="7" t="n">
        <v>18</v>
      </c>
      <c r="F20" s="8" t="n">
        <v>1E+030</v>
      </c>
      <c r="G20" s="9" t="s">
        <v>51</v>
      </c>
      <c r="H20" s="7" t="n">
        <v>0</v>
      </c>
      <c r="I20" s="7" t="s">
        <v>52</v>
      </c>
      <c r="J20" s="7" t="s">
        <v>53</v>
      </c>
      <c r="K20" s="3" t="s">
        <v>54</v>
      </c>
      <c r="L20" s="7" t="n">
        <v>1</v>
      </c>
      <c r="M20" s="10" t="n">
        <f aca="false">S20/F20</f>
        <v>1</v>
      </c>
      <c r="N20" s="3" t="s">
        <v>55</v>
      </c>
      <c r="O20" s="7" t="s">
        <v>56</v>
      </c>
      <c r="P20" s="3" t="s">
        <v>57</v>
      </c>
      <c r="Q20" s="9" t="s">
        <v>11</v>
      </c>
      <c r="R20" s="4" t="s">
        <v>11</v>
      </c>
      <c r="S20" s="11" t="n">
        <v>1E+030</v>
      </c>
      <c r="T20" s="12" t="n">
        <v>1</v>
      </c>
      <c r="U20" s="11"/>
      <c r="V20" s="11" t="n">
        <v>1E+030</v>
      </c>
      <c r="W20" s="13" t="s">
        <v>57</v>
      </c>
      <c r="X20" s="13" t="n">
        <v>13</v>
      </c>
      <c r="Y20" s="13" t="s">
        <v>118</v>
      </c>
      <c r="Z20" s="13" t="s">
        <v>59</v>
      </c>
      <c r="AA20" s="5" t="s">
        <v>119</v>
      </c>
      <c r="AB20" s="5" t="s">
        <v>57</v>
      </c>
    </row>
    <row r="21" customFormat="false" ht="23.85" hidden="false" customHeight="false" outlineLevel="0" collapsed="false">
      <c r="A21" s="7" t="s">
        <v>124</v>
      </c>
      <c r="B21" s="7" t="s">
        <v>117</v>
      </c>
      <c r="C21" s="7" t="s">
        <v>110</v>
      </c>
      <c r="D21" s="7" t="s">
        <v>50</v>
      </c>
      <c r="E21" s="7" t="n">
        <v>18</v>
      </c>
      <c r="F21" s="8" t="n">
        <v>1E+027</v>
      </c>
      <c r="G21" s="9" t="s">
        <v>51</v>
      </c>
      <c r="H21" s="7" t="n">
        <v>0</v>
      </c>
      <c r="I21" s="7" t="s">
        <v>52</v>
      </c>
      <c r="J21" s="7" t="s">
        <v>53</v>
      </c>
      <c r="K21" s="3" t="s">
        <v>54</v>
      </c>
      <c r="L21" s="7" t="n">
        <v>1</v>
      </c>
      <c r="M21" s="10" t="n">
        <f aca="false">S21/F21</f>
        <v>1</v>
      </c>
      <c r="N21" s="3" t="s">
        <v>55</v>
      </c>
      <c r="O21" s="7" t="s">
        <v>56</v>
      </c>
      <c r="P21" s="3" t="s">
        <v>57</v>
      </c>
      <c r="Q21" s="9" t="s">
        <v>11</v>
      </c>
      <c r="R21" s="4" t="s">
        <v>11</v>
      </c>
      <c r="S21" s="11" t="n">
        <v>1E+027</v>
      </c>
      <c r="T21" s="12" t="n">
        <v>1</v>
      </c>
      <c r="U21" s="11"/>
      <c r="V21" s="11" t="n">
        <v>1E+027</v>
      </c>
      <c r="W21" s="13" t="s">
        <v>57</v>
      </c>
      <c r="X21" s="13" t="n">
        <v>13</v>
      </c>
      <c r="Y21" s="13" t="s">
        <v>118</v>
      </c>
      <c r="Z21" s="13" t="s">
        <v>59</v>
      </c>
      <c r="AA21" s="5" t="s">
        <v>119</v>
      </c>
      <c r="AB21" s="5" t="s">
        <v>57</v>
      </c>
    </row>
    <row r="22" customFormat="false" ht="23.85" hidden="false" customHeight="false" outlineLevel="0" collapsed="false">
      <c r="A22" s="7" t="s">
        <v>125</v>
      </c>
      <c r="B22" s="7" t="s">
        <v>117</v>
      </c>
      <c r="C22" s="7" t="s">
        <v>110</v>
      </c>
      <c r="D22" s="7" t="s">
        <v>50</v>
      </c>
      <c r="E22" s="7" t="n">
        <v>18</v>
      </c>
      <c r="F22" s="8" t="n">
        <v>1E+030</v>
      </c>
      <c r="G22" s="9" t="s">
        <v>51</v>
      </c>
      <c r="H22" s="7" t="n">
        <v>0</v>
      </c>
      <c r="I22" s="7" t="s">
        <v>52</v>
      </c>
      <c r="J22" s="7" t="s">
        <v>53</v>
      </c>
      <c r="K22" s="3" t="s">
        <v>54</v>
      </c>
      <c r="L22" s="7" t="n">
        <v>1</v>
      </c>
      <c r="M22" s="10" t="n">
        <f aca="false">S22/F22</f>
        <v>1</v>
      </c>
      <c r="N22" s="3" t="s">
        <v>55</v>
      </c>
      <c r="O22" s="7" t="s">
        <v>56</v>
      </c>
      <c r="P22" s="3" t="s">
        <v>57</v>
      </c>
      <c r="Q22" s="9" t="s">
        <v>11</v>
      </c>
      <c r="R22" s="4" t="s">
        <v>11</v>
      </c>
      <c r="S22" s="11" t="n">
        <v>1E+030</v>
      </c>
      <c r="T22" s="12" t="n">
        <v>1</v>
      </c>
      <c r="U22" s="11"/>
      <c r="V22" s="11" t="n">
        <v>1E+030</v>
      </c>
      <c r="W22" s="13" t="s">
        <v>57</v>
      </c>
      <c r="X22" s="13" t="n">
        <v>13</v>
      </c>
      <c r="Y22" s="13" t="s">
        <v>118</v>
      </c>
      <c r="Z22" s="13" t="s">
        <v>59</v>
      </c>
      <c r="AA22" s="5" t="s">
        <v>119</v>
      </c>
      <c r="AB22" s="5" t="s">
        <v>57</v>
      </c>
    </row>
    <row r="23" customFormat="false" ht="23.85" hidden="false" customHeight="false" outlineLevel="0" collapsed="false">
      <c r="A23" s="7" t="s">
        <v>126</v>
      </c>
      <c r="B23" s="7" t="s">
        <v>117</v>
      </c>
      <c r="C23" s="7" t="s">
        <v>110</v>
      </c>
      <c r="D23" s="7" t="s">
        <v>50</v>
      </c>
      <c r="E23" s="7" t="n">
        <v>18</v>
      </c>
      <c r="F23" s="8" t="n">
        <v>1E+030</v>
      </c>
      <c r="G23" s="9" t="s">
        <v>51</v>
      </c>
      <c r="H23" s="7" t="n">
        <v>0</v>
      </c>
      <c r="I23" s="7" t="s">
        <v>52</v>
      </c>
      <c r="J23" s="7" t="s">
        <v>53</v>
      </c>
      <c r="K23" s="3" t="s">
        <v>54</v>
      </c>
      <c r="L23" s="7" t="n">
        <v>1</v>
      </c>
      <c r="M23" s="10" t="n">
        <f aca="false">S23/F23</f>
        <v>1</v>
      </c>
      <c r="N23" s="3" t="s">
        <v>55</v>
      </c>
      <c r="O23" s="7" t="s">
        <v>56</v>
      </c>
      <c r="P23" s="3" t="s">
        <v>57</v>
      </c>
      <c r="Q23" s="9" t="s">
        <v>11</v>
      </c>
      <c r="R23" s="4" t="s">
        <v>11</v>
      </c>
      <c r="S23" s="11" t="n">
        <v>1E+030</v>
      </c>
      <c r="T23" s="12" t="n">
        <v>1</v>
      </c>
      <c r="U23" s="11"/>
      <c r="V23" s="11" t="n">
        <v>1E+030</v>
      </c>
      <c r="W23" s="13" t="s">
        <v>57</v>
      </c>
      <c r="X23" s="13" t="n">
        <v>13</v>
      </c>
      <c r="Y23" s="13" t="s">
        <v>118</v>
      </c>
      <c r="Z23" s="13" t="s">
        <v>59</v>
      </c>
      <c r="AA23" s="5" t="s">
        <v>119</v>
      </c>
      <c r="AB23" s="5" t="s">
        <v>57</v>
      </c>
    </row>
    <row r="24" customFormat="false" ht="23.85" hidden="false" customHeight="false" outlineLevel="0" collapsed="false">
      <c r="A24" s="7" t="s">
        <v>127</v>
      </c>
      <c r="B24" s="7" t="s">
        <v>117</v>
      </c>
      <c r="C24" s="7" t="s">
        <v>110</v>
      </c>
      <c r="D24" s="7" t="s">
        <v>50</v>
      </c>
      <c r="E24" s="7" t="n">
        <v>18</v>
      </c>
      <c r="F24" s="8" t="n">
        <v>1E+026</v>
      </c>
      <c r="G24" s="9" t="s">
        <v>51</v>
      </c>
      <c r="H24" s="7" t="n">
        <v>0</v>
      </c>
      <c r="I24" s="7" t="s">
        <v>52</v>
      </c>
      <c r="J24" s="7" t="s">
        <v>53</v>
      </c>
      <c r="K24" s="3" t="s">
        <v>54</v>
      </c>
      <c r="L24" s="7" t="n">
        <v>1</v>
      </c>
      <c r="M24" s="10" t="n">
        <f aca="false">S24/F24</f>
        <v>1</v>
      </c>
      <c r="N24" s="3" t="s">
        <v>55</v>
      </c>
      <c r="O24" s="7" t="s">
        <v>56</v>
      </c>
      <c r="P24" s="3" t="s">
        <v>57</v>
      </c>
      <c r="Q24" s="9" t="s">
        <v>11</v>
      </c>
      <c r="R24" s="4" t="s">
        <v>11</v>
      </c>
      <c r="S24" s="11" t="n">
        <v>1E+026</v>
      </c>
      <c r="T24" s="12" t="n">
        <v>1</v>
      </c>
      <c r="U24" s="11"/>
      <c r="V24" s="11" t="n">
        <v>1E+026</v>
      </c>
      <c r="W24" s="13" t="s">
        <v>57</v>
      </c>
      <c r="X24" s="13" t="n">
        <v>13</v>
      </c>
      <c r="Y24" s="13" t="s">
        <v>118</v>
      </c>
      <c r="Z24" s="13" t="s">
        <v>59</v>
      </c>
      <c r="AA24" s="5" t="s">
        <v>119</v>
      </c>
      <c r="AB24" s="5" t="s">
        <v>57</v>
      </c>
    </row>
    <row r="25" customFormat="false" ht="23.85" hidden="false" customHeight="false" outlineLevel="0" collapsed="false">
      <c r="A25" s="7" t="s">
        <v>128</v>
      </c>
      <c r="B25" s="7" t="s">
        <v>109</v>
      </c>
      <c r="C25" s="7" t="s">
        <v>110</v>
      </c>
      <c r="D25" s="7" t="s">
        <v>50</v>
      </c>
      <c r="E25" s="7" t="n">
        <v>18</v>
      </c>
      <c r="F25" s="8" t="n">
        <v>1000000000000</v>
      </c>
      <c r="G25" s="9" t="s">
        <v>51</v>
      </c>
      <c r="H25" s="7" t="n">
        <v>0</v>
      </c>
      <c r="I25" s="7" t="s">
        <v>52</v>
      </c>
      <c r="J25" s="7" t="s">
        <v>53</v>
      </c>
      <c r="K25" s="3" t="s">
        <v>111</v>
      </c>
      <c r="L25" s="7" t="n">
        <v>1</v>
      </c>
      <c r="M25" s="10" t="n">
        <f aca="false">S25/F25</f>
        <v>1</v>
      </c>
      <c r="N25" s="3" t="s">
        <v>55</v>
      </c>
      <c r="O25" s="7" t="s">
        <v>56</v>
      </c>
      <c r="P25" s="3" t="s">
        <v>57</v>
      </c>
      <c r="Q25" s="9" t="s">
        <v>11</v>
      </c>
      <c r="R25" s="4" t="s">
        <v>11</v>
      </c>
      <c r="S25" s="11" t="n">
        <v>1000000000000</v>
      </c>
      <c r="T25" s="12" t="n">
        <v>1</v>
      </c>
      <c r="U25" s="11"/>
      <c r="V25" s="11"/>
      <c r="W25" s="13" t="s">
        <v>113</v>
      </c>
      <c r="X25" s="13" t="n">
        <v>2</v>
      </c>
      <c r="Y25" s="13" t="s">
        <v>114</v>
      </c>
      <c r="Z25" s="13" t="s">
        <v>59</v>
      </c>
      <c r="AA25" s="5" t="s">
        <v>129</v>
      </c>
      <c r="AB25" s="5" t="s">
        <v>57</v>
      </c>
    </row>
    <row r="26" customFormat="false" ht="23.85" hidden="false" customHeight="false" outlineLevel="0" collapsed="false">
      <c r="A26" s="7" t="s">
        <v>130</v>
      </c>
      <c r="B26" s="7" t="s">
        <v>117</v>
      </c>
      <c r="C26" s="7" t="s">
        <v>110</v>
      </c>
      <c r="D26" s="7" t="s">
        <v>50</v>
      </c>
      <c r="E26" s="7" t="n">
        <v>18</v>
      </c>
      <c r="F26" s="8" t="n">
        <v>1E+030</v>
      </c>
      <c r="G26" s="9" t="s">
        <v>51</v>
      </c>
      <c r="H26" s="7" t="n">
        <v>0</v>
      </c>
      <c r="I26" s="7" t="s">
        <v>52</v>
      </c>
      <c r="J26" s="7" t="s">
        <v>53</v>
      </c>
      <c r="K26" s="3" t="s">
        <v>54</v>
      </c>
      <c r="L26" s="7" t="n">
        <v>1</v>
      </c>
      <c r="M26" s="10" t="n">
        <f aca="false">S26/F26</f>
        <v>1</v>
      </c>
      <c r="N26" s="3" t="s">
        <v>55</v>
      </c>
      <c r="O26" s="7" t="s">
        <v>56</v>
      </c>
      <c r="P26" s="3" t="s">
        <v>57</v>
      </c>
      <c r="Q26" s="9" t="s">
        <v>11</v>
      </c>
      <c r="R26" s="4" t="s">
        <v>11</v>
      </c>
      <c r="S26" s="11" t="n">
        <v>1E+030</v>
      </c>
      <c r="T26" s="12" t="n">
        <v>1</v>
      </c>
      <c r="U26" s="11"/>
      <c r="V26" s="11" t="n">
        <v>1E+030</v>
      </c>
      <c r="W26" s="13" t="s">
        <v>57</v>
      </c>
      <c r="X26" s="13" t="n">
        <v>13</v>
      </c>
      <c r="Y26" s="13" t="s">
        <v>118</v>
      </c>
      <c r="Z26" s="13" t="s">
        <v>59</v>
      </c>
      <c r="AA26" s="5" t="s">
        <v>119</v>
      </c>
      <c r="AB26" s="5" t="s">
        <v>57</v>
      </c>
    </row>
    <row r="27" customFormat="false" ht="23.85" hidden="false" customHeight="false" outlineLevel="0" collapsed="false">
      <c r="A27" s="7" t="s">
        <v>131</v>
      </c>
      <c r="B27" s="7" t="s">
        <v>117</v>
      </c>
      <c r="C27" s="7" t="s">
        <v>110</v>
      </c>
      <c r="D27" s="7" t="s">
        <v>50</v>
      </c>
      <c r="E27" s="7" t="n">
        <v>18</v>
      </c>
      <c r="F27" s="8" t="n">
        <v>1E+030</v>
      </c>
      <c r="G27" s="9" t="s">
        <v>51</v>
      </c>
      <c r="H27" s="7" t="n">
        <v>0</v>
      </c>
      <c r="I27" s="7" t="s">
        <v>52</v>
      </c>
      <c r="J27" s="7" t="s">
        <v>53</v>
      </c>
      <c r="K27" s="3" t="s">
        <v>54</v>
      </c>
      <c r="L27" s="7" t="n">
        <v>1</v>
      </c>
      <c r="M27" s="10" t="n">
        <f aca="false">S27/F27</f>
        <v>1</v>
      </c>
      <c r="N27" s="3" t="s">
        <v>55</v>
      </c>
      <c r="O27" s="7" t="s">
        <v>56</v>
      </c>
      <c r="P27" s="3" t="s">
        <v>57</v>
      </c>
      <c r="Q27" s="9" t="s">
        <v>11</v>
      </c>
      <c r="R27" s="4" t="s">
        <v>11</v>
      </c>
      <c r="S27" s="11" t="n">
        <v>1E+030</v>
      </c>
      <c r="T27" s="12" t="n">
        <v>1</v>
      </c>
      <c r="U27" s="11"/>
      <c r="V27" s="11" t="n">
        <v>1E+030</v>
      </c>
      <c r="W27" s="13" t="s">
        <v>57</v>
      </c>
      <c r="X27" s="13" t="n">
        <v>13</v>
      </c>
      <c r="Y27" s="13" t="s">
        <v>118</v>
      </c>
      <c r="Z27" s="13" t="s">
        <v>59</v>
      </c>
      <c r="AA27" s="5" t="s">
        <v>119</v>
      </c>
      <c r="AB27" s="5" t="s">
        <v>57</v>
      </c>
    </row>
    <row r="28" customFormat="false" ht="23.85" hidden="false" customHeight="false" outlineLevel="0" collapsed="false">
      <c r="A28" s="7" t="s">
        <v>132</v>
      </c>
      <c r="B28" s="7" t="s">
        <v>117</v>
      </c>
      <c r="C28" s="7" t="s">
        <v>110</v>
      </c>
      <c r="D28" s="7" t="s">
        <v>50</v>
      </c>
      <c r="E28" s="7" t="n">
        <v>18</v>
      </c>
      <c r="F28" s="8" t="n">
        <v>1E+026</v>
      </c>
      <c r="G28" s="9" t="s">
        <v>51</v>
      </c>
      <c r="H28" s="7" t="n">
        <v>0</v>
      </c>
      <c r="I28" s="7" t="s">
        <v>52</v>
      </c>
      <c r="J28" s="7" t="s">
        <v>53</v>
      </c>
      <c r="K28" s="3" t="s">
        <v>54</v>
      </c>
      <c r="L28" s="7" t="n">
        <v>1</v>
      </c>
      <c r="M28" s="10" t="n">
        <f aca="false">S28/F28</f>
        <v>1</v>
      </c>
      <c r="N28" s="3" t="s">
        <v>55</v>
      </c>
      <c r="O28" s="7" t="s">
        <v>56</v>
      </c>
      <c r="P28" s="3" t="s">
        <v>57</v>
      </c>
      <c r="Q28" s="9" t="s">
        <v>11</v>
      </c>
      <c r="R28" s="4" t="s">
        <v>11</v>
      </c>
      <c r="S28" s="11" t="n">
        <v>1E+026</v>
      </c>
      <c r="T28" s="12" t="n">
        <v>1</v>
      </c>
      <c r="U28" s="11"/>
      <c r="V28" s="11" t="n">
        <v>1E+026</v>
      </c>
      <c r="W28" s="13" t="s">
        <v>57</v>
      </c>
      <c r="X28" s="13" t="n">
        <v>13</v>
      </c>
      <c r="Y28" s="13" t="s">
        <v>118</v>
      </c>
      <c r="Z28" s="13" t="s">
        <v>59</v>
      </c>
      <c r="AA28" s="5" t="s">
        <v>119</v>
      </c>
      <c r="AB28" s="5" t="s">
        <v>57</v>
      </c>
    </row>
    <row r="29" customFormat="false" ht="23.85" hidden="false" customHeight="false" outlineLevel="0" collapsed="false">
      <c r="A29" s="7" t="s">
        <v>133</v>
      </c>
      <c r="B29" s="7" t="s">
        <v>117</v>
      </c>
      <c r="C29" s="7" t="s">
        <v>110</v>
      </c>
      <c r="D29" s="7" t="s">
        <v>50</v>
      </c>
      <c r="E29" s="7" t="n">
        <v>18</v>
      </c>
      <c r="F29" s="8" t="n">
        <v>1E+030</v>
      </c>
      <c r="G29" s="9" t="s">
        <v>51</v>
      </c>
      <c r="H29" s="7" t="n">
        <v>0</v>
      </c>
      <c r="I29" s="7" t="s">
        <v>52</v>
      </c>
      <c r="J29" s="7" t="s">
        <v>53</v>
      </c>
      <c r="K29" s="3" t="s">
        <v>54</v>
      </c>
      <c r="L29" s="7" t="n">
        <v>1</v>
      </c>
      <c r="M29" s="10" t="n">
        <f aca="false">S29/F29</f>
        <v>1</v>
      </c>
      <c r="N29" s="3" t="s">
        <v>55</v>
      </c>
      <c r="O29" s="7" t="s">
        <v>56</v>
      </c>
      <c r="P29" s="3" t="s">
        <v>57</v>
      </c>
      <c r="Q29" s="9" t="s">
        <v>11</v>
      </c>
      <c r="R29" s="4" t="s">
        <v>11</v>
      </c>
      <c r="S29" s="11" t="n">
        <v>1E+030</v>
      </c>
      <c r="T29" s="12" t="n">
        <v>1</v>
      </c>
      <c r="U29" s="11"/>
      <c r="V29" s="11" t="n">
        <v>1E+030</v>
      </c>
      <c r="W29" s="13" t="s">
        <v>57</v>
      </c>
      <c r="X29" s="13" t="n">
        <v>13</v>
      </c>
      <c r="Y29" s="13" t="s">
        <v>118</v>
      </c>
      <c r="Z29" s="13" t="s">
        <v>59</v>
      </c>
      <c r="AA29" s="5" t="s">
        <v>119</v>
      </c>
      <c r="AB29" s="5" t="s">
        <v>57</v>
      </c>
    </row>
    <row r="30" customFormat="false" ht="23.85" hidden="false" customHeight="false" outlineLevel="0" collapsed="false">
      <c r="A30" s="7" t="s">
        <v>134</v>
      </c>
      <c r="B30" s="7" t="s">
        <v>135</v>
      </c>
      <c r="C30" s="7" t="s">
        <v>136</v>
      </c>
      <c r="D30" s="7" t="s">
        <v>50</v>
      </c>
      <c r="E30" s="7" t="n">
        <v>18</v>
      </c>
      <c r="F30" s="8" t="n">
        <v>500000000</v>
      </c>
      <c r="G30" s="9" t="s">
        <v>51</v>
      </c>
      <c r="H30" s="7" t="n">
        <v>0</v>
      </c>
      <c r="I30" s="7" t="s">
        <v>52</v>
      </c>
      <c r="J30" s="7" t="s">
        <v>53</v>
      </c>
      <c r="K30" s="3" t="s">
        <v>111</v>
      </c>
      <c r="L30" s="7" t="n">
        <v>5</v>
      </c>
      <c r="M30" s="10" t="n">
        <f aca="false">S30/F30</f>
        <v>1</v>
      </c>
      <c r="N30" s="3" t="s">
        <v>55</v>
      </c>
      <c r="O30" s="7" t="s">
        <v>56</v>
      </c>
      <c r="P30" s="3" t="s">
        <v>57</v>
      </c>
      <c r="Q30" s="9" t="s">
        <v>11</v>
      </c>
      <c r="R30" s="4" t="s">
        <v>11</v>
      </c>
      <c r="S30" s="11" t="n">
        <v>500000000</v>
      </c>
      <c r="T30" s="12" t="n">
        <v>1</v>
      </c>
      <c r="U30" s="11"/>
      <c r="V30" s="11"/>
      <c r="W30" s="13" t="s">
        <v>113</v>
      </c>
      <c r="X30" s="13" t="n">
        <v>1</v>
      </c>
      <c r="Y30" s="13" t="s">
        <v>137</v>
      </c>
      <c r="Z30" s="13" t="s">
        <v>59</v>
      </c>
      <c r="AA30" s="5" t="s">
        <v>138</v>
      </c>
      <c r="AB30" s="5" t="s">
        <v>57</v>
      </c>
    </row>
    <row r="31" customFormat="false" ht="23.85" hidden="false" customHeight="false" outlineLevel="0" collapsed="false">
      <c r="A31" s="7" t="s">
        <v>139</v>
      </c>
      <c r="B31" s="7" t="s">
        <v>135</v>
      </c>
      <c r="C31" s="7" t="s">
        <v>136</v>
      </c>
      <c r="D31" s="7" t="s">
        <v>50</v>
      </c>
      <c r="E31" s="7" t="n">
        <v>18</v>
      </c>
      <c r="F31" s="8" t="n">
        <v>500000000</v>
      </c>
      <c r="G31" s="9" t="s">
        <v>51</v>
      </c>
      <c r="H31" s="7" t="n">
        <v>0</v>
      </c>
      <c r="I31" s="7" t="s">
        <v>52</v>
      </c>
      <c r="J31" s="7" t="s">
        <v>53</v>
      </c>
      <c r="K31" s="3" t="s">
        <v>111</v>
      </c>
      <c r="L31" s="7" t="n">
        <v>4</v>
      </c>
      <c r="M31" s="10" t="n">
        <f aca="false">S31/F31</f>
        <v>1</v>
      </c>
      <c r="N31" s="3" t="s">
        <v>55</v>
      </c>
      <c r="O31" s="7" t="s">
        <v>56</v>
      </c>
      <c r="P31" s="3" t="s">
        <v>57</v>
      </c>
      <c r="Q31" s="9" t="s">
        <v>11</v>
      </c>
      <c r="R31" s="4" t="s">
        <v>11</v>
      </c>
      <c r="S31" s="11" t="n">
        <v>500000000</v>
      </c>
      <c r="T31" s="12" t="n">
        <v>1</v>
      </c>
      <c r="U31" s="11"/>
      <c r="V31" s="11"/>
      <c r="W31" s="13" t="s">
        <v>113</v>
      </c>
      <c r="X31" s="13" t="n">
        <v>1</v>
      </c>
      <c r="Y31" s="13" t="s">
        <v>137</v>
      </c>
      <c r="Z31" s="13" t="s">
        <v>67</v>
      </c>
      <c r="AA31" s="5" t="s">
        <v>140</v>
      </c>
      <c r="AB31" s="5" t="s">
        <v>57</v>
      </c>
    </row>
    <row r="32" customFormat="false" ht="23.85" hidden="false" customHeight="false" outlineLevel="0" collapsed="false">
      <c r="A32" s="7" t="s">
        <v>141</v>
      </c>
      <c r="B32" s="7" t="s">
        <v>142</v>
      </c>
      <c r="C32" s="7" t="s">
        <v>143</v>
      </c>
      <c r="D32" s="7" t="s">
        <v>50</v>
      </c>
      <c r="E32" s="7" t="n">
        <v>18</v>
      </c>
      <c r="F32" s="8" t="n">
        <v>77000000</v>
      </c>
      <c r="G32" s="9" t="s">
        <v>51</v>
      </c>
      <c r="H32" s="7" t="n">
        <v>0</v>
      </c>
      <c r="I32" s="7" t="s">
        <v>52</v>
      </c>
      <c r="J32" s="7" t="s">
        <v>53</v>
      </c>
      <c r="K32" s="3" t="s">
        <v>54</v>
      </c>
      <c r="L32" s="7" t="n">
        <v>3</v>
      </c>
      <c r="M32" s="10" t="n">
        <f aca="false">S32/F32</f>
        <v>1</v>
      </c>
      <c r="N32" s="3" t="s">
        <v>55</v>
      </c>
      <c r="O32" s="7" t="s">
        <v>56</v>
      </c>
      <c r="P32" s="3" t="s">
        <v>77</v>
      </c>
      <c r="Q32" s="9" t="s">
        <v>11</v>
      </c>
      <c r="R32" s="4" t="s">
        <v>11</v>
      </c>
      <c r="S32" s="11" t="n">
        <v>77000000</v>
      </c>
      <c r="T32" s="12" t="n">
        <v>1</v>
      </c>
      <c r="U32" s="11"/>
      <c r="V32" s="11"/>
      <c r="W32" s="13" t="s">
        <v>57</v>
      </c>
      <c r="X32" s="13" t="n">
        <v>8</v>
      </c>
      <c r="Y32" s="13" t="s">
        <v>58</v>
      </c>
      <c r="Z32" s="13" t="s">
        <v>67</v>
      </c>
      <c r="AA32" s="5" t="s">
        <v>73</v>
      </c>
      <c r="AB32" s="5" t="s">
        <v>57</v>
      </c>
    </row>
    <row r="33" customFormat="false" ht="23.85" hidden="false" customHeight="false" outlineLevel="0" collapsed="false">
      <c r="A33" s="7" t="s">
        <v>144</v>
      </c>
      <c r="B33" s="7" t="s">
        <v>145</v>
      </c>
      <c r="C33" s="7" t="s">
        <v>146</v>
      </c>
      <c r="D33" s="7" t="s">
        <v>50</v>
      </c>
      <c r="E33" s="7" t="n">
        <v>18</v>
      </c>
      <c r="F33" s="8" t="n">
        <v>100000000</v>
      </c>
      <c r="G33" s="9" t="s">
        <v>51</v>
      </c>
      <c r="H33" s="7" t="n">
        <v>0</v>
      </c>
      <c r="I33" s="7" t="s">
        <v>52</v>
      </c>
      <c r="J33" s="7" t="s">
        <v>53</v>
      </c>
      <c r="K33" s="3" t="s">
        <v>54</v>
      </c>
      <c r="L33" s="7" t="n">
        <v>5</v>
      </c>
      <c r="M33" s="10" t="n">
        <f aca="false">S33/F33</f>
        <v>1</v>
      </c>
      <c r="N33" s="3" t="s">
        <v>147</v>
      </c>
      <c r="O33" s="7" t="s">
        <v>56</v>
      </c>
      <c r="P33" s="3" t="s">
        <v>72</v>
      </c>
      <c r="Q33" s="9" t="s">
        <v>11</v>
      </c>
      <c r="R33" s="4" t="s">
        <v>11</v>
      </c>
      <c r="S33" s="11" t="n">
        <v>100000000</v>
      </c>
      <c r="T33" s="12" t="n">
        <v>1</v>
      </c>
      <c r="U33" s="11"/>
      <c r="V33" s="11"/>
      <c r="W33" s="13" t="s">
        <v>57</v>
      </c>
      <c r="X33" s="13" t="n">
        <v>8</v>
      </c>
      <c r="Y33" s="13" t="s">
        <v>58</v>
      </c>
      <c r="Z33" s="13" t="s">
        <v>67</v>
      </c>
      <c r="AA33" s="5" t="s">
        <v>148</v>
      </c>
      <c r="AB33" s="5" t="s">
        <v>57</v>
      </c>
    </row>
    <row r="34" customFormat="false" ht="23.85" hidden="false" customHeight="false" outlineLevel="0" collapsed="false">
      <c r="A34" s="7" t="s">
        <v>149</v>
      </c>
      <c r="B34" s="7" t="s">
        <v>145</v>
      </c>
      <c r="C34" s="7" t="s">
        <v>146</v>
      </c>
      <c r="D34" s="7" t="s">
        <v>50</v>
      </c>
      <c r="E34" s="7" t="n">
        <v>18</v>
      </c>
      <c r="F34" s="8" t="n">
        <v>1E+026</v>
      </c>
      <c r="G34" s="9" t="s">
        <v>51</v>
      </c>
      <c r="H34" s="7" t="n">
        <v>0</v>
      </c>
      <c r="I34" s="7" t="s">
        <v>52</v>
      </c>
      <c r="J34" s="7" t="s">
        <v>53</v>
      </c>
      <c r="K34" s="3" t="s">
        <v>54</v>
      </c>
      <c r="L34" s="7" t="n">
        <v>1</v>
      </c>
      <c r="M34" s="10" t="n">
        <f aca="false">S34/F34</f>
        <v>1</v>
      </c>
      <c r="N34" s="3" t="s">
        <v>55</v>
      </c>
      <c r="O34" s="7" t="s">
        <v>56</v>
      </c>
      <c r="P34" s="3" t="s">
        <v>57</v>
      </c>
      <c r="Q34" s="9" t="s">
        <v>11</v>
      </c>
      <c r="R34" s="4" t="s">
        <v>11</v>
      </c>
      <c r="S34" s="11" t="n">
        <v>1E+026</v>
      </c>
      <c r="T34" s="12" t="n">
        <v>1</v>
      </c>
      <c r="U34" s="11"/>
      <c r="V34" s="11" t="n">
        <v>1E+026</v>
      </c>
      <c r="W34" s="13" t="s">
        <v>57</v>
      </c>
      <c r="X34" s="13" t="n">
        <v>13</v>
      </c>
      <c r="Y34" s="13" t="s">
        <v>118</v>
      </c>
      <c r="Z34" s="13" t="s">
        <v>59</v>
      </c>
      <c r="AA34" s="5" t="s">
        <v>150</v>
      </c>
      <c r="AB34" s="5" t="s">
        <v>57</v>
      </c>
    </row>
    <row r="35" customFormat="false" ht="23.85" hidden="false" customHeight="false" outlineLevel="0" collapsed="false">
      <c r="A35" s="7" t="s">
        <v>151</v>
      </c>
      <c r="B35" s="7" t="s">
        <v>152</v>
      </c>
      <c r="C35" s="7" t="s">
        <v>153</v>
      </c>
      <c r="D35" s="7" t="s">
        <v>50</v>
      </c>
      <c r="E35" s="7" t="n">
        <v>18</v>
      </c>
      <c r="F35" s="8" t="n">
        <v>555000000</v>
      </c>
      <c r="G35" s="9" t="s">
        <v>51</v>
      </c>
      <c r="H35" s="7" t="n">
        <v>0</v>
      </c>
      <c r="I35" s="7" t="s">
        <v>52</v>
      </c>
      <c r="J35" s="7" t="s">
        <v>53</v>
      </c>
      <c r="K35" s="3" t="s">
        <v>63</v>
      </c>
      <c r="L35" s="7" t="s">
        <v>154</v>
      </c>
      <c r="M35" s="10" t="n">
        <f aca="false">S35/F35</f>
        <v>0.999204240120126</v>
      </c>
      <c r="N35" s="3" t="s">
        <v>155</v>
      </c>
      <c r="O35" s="7" t="s">
        <v>56</v>
      </c>
      <c r="P35" s="3" t="s">
        <v>156</v>
      </c>
      <c r="Q35" s="9" t="s">
        <v>11</v>
      </c>
      <c r="R35" s="4" t="s">
        <v>11</v>
      </c>
      <c r="S35" s="11" t="n">
        <v>554558353.26667</v>
      </c>
      <c r="T35" s="12" t="n">
        <v>0.999998572072072</v>
      </c>
      <c r="U35" s="11" t="n">
        <v>792.5</v>
      </c>
      <c r="V35" s="11" t="n">
        <v>79.27</v>
      </c>
      <c r="W35" s="13" t="s">
        <v>65</v>
      </c>
      <c r="X35" s="13" t="n">
        <v>3</v>
      </c>
      <c r="Y35" s="13" t="s">
        <v>66</v>
      </c>
      <c r="Z35" s="13" t="s">
        <v>67</v>
      </c>
      <c r="AA35" s="5" t="s">
        <v>95</v>
      </c>
      <c r="AB35" s="5" t="s">
        <v>57</v>
      </c>
    </row>
    <row r="36" customFormat="false" ht="23.85" hidden="false" customHeight="false" outlineLevel="0" collapsed="false">
      <c r="A36" s="7" t="s">
        <v>157</v>
      </c>
      <c r="B36" s="7" t="s">
        <v>158</v>
      </c>
      <c r="C36" s="7" t="s">
        <v>158</v>
      </c>
      <c r="D36" s="7" t="s">
        <v>50</v>
      </c>
      <c r="E36" s="7" t="n">
        <v>18</v>
      </c>
      <c r="F36" s="8" t="n">
        <v>125000000</v>
      </c>
      <c r="G36" s="9" t="s">
        <v>51</v>
      </c>
      <c r="H36" s="7" t="n">
        <v>0</v>
      </c>
      <c r="I36" s="7" t="s">
        <v>52</v>
      </c>
      <c r="J36" s="7" t="s">
        <v>53</v>
      </c>
      <c r="K36" s="3" t="s">
        <v>54</v>
      </c>
      <c r="L36" s="7" t="n">
        <v>3</v>
      </c>
      <c r="M36" s="10" t="n">
        <f aca="false">S36/F36</f>
        <v>1</v>
      </c>
      <c r="N36" s="3" t="s">
        <v>55</v>
      </c>
      <c r="O36" s="7" t="s">
        <v>56</v>
      </c>
      <c r="P36" s="3" t="s">
        <v>77</v>
      </c>
      <c r="Q36" s="9" t="s">
        <v>11</v>
      </c>
      <c r="R36" s="4" t="s">
        <v>11</v>
      </c>
      <c r="S36" s="11" t="n">
        <v>125000000</v>
      </c>
      <c r="T36" s="12" t="n">
        <v>1</v>
      </c>
      <c r="U36" s="11"/>
      <c r="V36" s="11"/>
      <c r="W36" s="13" t="s">
        <v>57</v>
      </c>
      <c r="X36" s="13" t="n">
        <v>8</v>
      </c>
      <c r="Y36" s="13" t="s">
        <v>58</v>
      </c>
      <c r="Z36" s="13" t="s">
        <v>67</v>
      </c>
      <c r="AA36" s="5" t="s">
        <v>73</v>
      </c>
      <c r="AB36" s="5" t="s">
        <v>57</v>
      </c>
    </row>
    <row r="37" customFormat="false" ht="23.85" hidden="false" customHeight="false" outlineLevel="0" collapsed="false">
      <c r="A37" s="7" t="s">
        <v>159</v>
      </c>
      <c r="B37" s="7" t="s">
        <v>160</v>
      </c>
      <c r="C37" s="7" t="s">
        <v>161</v>
      </c>
      <c r="D37" s="7" t="s">
        <v>50</v>
      </c>
      <c r="E37" s="7" t="n">
        <v>18</v>
      </c>
      <c r="F37" s="8" t="n">
        <v>50000000</v>
      </c>
      <c r="G37" s="9" t="s">
        <v>51</v>
      </c>
      <c r="H37" s="7" t="n">
        <v>0</v>
      </c>
      <c r="I37" s="7" t="s">
        <v>52</v>
      </c>
      <c r="J37" s="7" t="s">
        <v>53</v>
      </c>
      <c r="K37" s="3" t="s">
        <v>54</v>
      </c>
      <c r="L37" s="7" t="n">
        <v>3</v>
      </c>
      <c r="M37" s="10" t="n">
        <f aca="false">S37/F37</f>
        <v>1</v>
      </c>
      <c r="N37" s="3" t="s">
        <v>55</v>
      </c>
      <c r="O37" s="7" t="s">
        <v>56</v>
      </c>
      <c r="P37" s="3" t="s">
        <v>77</v>
      </c>
      <c r="Q37" s="9" t="s">
        <v>11</v>
      </c>
      <c r="R37" s="4" t="s">
        <v>11</v>
      </c>
      <c r="S37" s="11" t="n">
        <v>50000000</v>
      </c>
      <c r="T37" s="12" t="n">
        <v>1</v>
      </c>
      <c r="U37" s="11"/>
      <c r="V37" s="11"/>
      <c r="W37" s="13" t="s">
        <v>57</v>
      </c>
      <c r="X37" s="13" t="n">
        <v>8</v>
      </c>
      <c r="Y37" s="13" t="s">
        <v>58</v>
      </c>
      <c r="Z37" s="13" t="s">
        <v>67</v>
      </c>
      <c r="AA37" s="5" t="s">
        <v>162</v>
      </c>
      <c r="AB37" s="5" t="s">
        <v>57</v>
      </c>
    </row>
    <row r="38" customFormat="false" ht="23.85" hidden="false" customHeight="false" outlineLevel="0" collapsed="false">
      <c r="A38" s="7" t="s">
        <v>163</v>
      </c>
      <c r="B38" s="7" t="s">
        <v>160</v>
      </c>
      <c r="C38" s="7" t="s">
        <v>161</v>
      </c>
      <c r="D38" s="7" t="s">
        <v>50</v>
      </c>
      <c r="E38" s="7" t="n">
        <v>18</v>
      </c>
      <c r="F38" s="8" t="n">
        <v>1000000000000</v>
      </c>
      <c r="G38" s="9" t="s">
        <v>51</v>
      </c>
      <c r="H38" s="7" t="n">
        <v>0</v>
      </c>
      <c r="I38" s="7" t="s">
        <v>52</v>
      </c>
      <c r="J38" s="7" t="s">
        <v>53</v>
      </c>
      <c r="K38" s="3" t="s">
        <v>111</v>
      </c>
      <c r="L38" s="7" t="n">
        <v>1</v>
      </c>
      <c r="M38" s="10" t="n">
        <f aca="false">S38/F38</f>
        <v>1</v>
      </c>
      <c r="N38" s="3" t="s">
        <v>55</v>
      </c>
      <c r="O38" s="7" t="s">
        <v>56</v>
      </c>
      <c r="P38" s="3" t="s">
        <v>57</v>
      </c>
      <c r="Q38" s="9" t="s">
        <v>11</v>
      </c>
      <c r="R38" s="4" t="s">
        <v>11</v>
      </c>
      <c r="S38" s="11" t="n">
        <v>1000000000000</v>
      </c>
      <c r="T38" s="12" t="n">
        <v>1</v>
      </c>
      <c r="U38" s="11"/>
      <c r="V38" s="11"/>
      <c r="W38" s="13" t="s">
        <v>113</v>
      </c>
      <c r="X38" s="13" t="n">
        <v>2</v>
      </c>
      <c r="Y38" s="13" t="s">
        <v>114</v>
      </c>
      <c r="Z38" s="13" t="s">
        <v>59</v>
      </c>
      <c r="AA38" s="5" t="s">
        <v>164</v>
      </c>
      <c r="AB38" s="5" t="s">
        <v>57</v>
      </c>
    </row>
    <row r="39" customFormat="false" ht="23.85" hidden="false" customHeight="false" outlineLevel="0" collapsed="false">
      <c r="A39" s="7" t="s">
        <v>165</v>
      </c>
      <c r="B39" s="7" t="s">
        <v>166</v>
      </c>
      <c r="C39" s="7" t="s">
        <v>167</v>
      </c>
      <c r="D39" s="7" t="s">
        <v>50</v>
      </c>
      <c r="E39" s="7" t="n">
        <v>18</v>
      </c>
      <c r="F39" s="8" t="n">
        <v>21000000</v>
      </c>
      <c r="G39" s="9" t="s">
        <v>51</v>
      </c>
      <c r="H39" s="7" t="n">
        <v>0</v>
      </c>
      <c r="I39" s="7" t="s">
        <v>52</v>
      </c>
      <c r="J39" s="7" t="s">
        <v>53</v>
      </c>
      <c r="K39" s="3" t="s">
        <v>54</v>
      </c>
      <c r="L39" s="7" t="n">
        <v>3</v>
      </c>
      <c r="M39" s="10" t="n">
        <f aca="false">S39/F39</f>
        <v>1</v>
      </c>
      <c r="N39" s="3" t="s">
        <v>55</v>
      </c>
      <c r="O39" s="7" t="s">
        <v>56</v>
      </c>
      <c r="P39" s="3" t="s">
        <v>77</v>
      </c>
      <c r="Q39" s="9" t="s">
        <v>11</v>
      </c>
      <c r="R39" s="4" t="s">
        <v>11</v>
      </c>
      <c r="S39" s="11" t="n">
        <v>21000000</v>
      </c>
      <c r="T39" s="12" t="n">
        <v>1</v>
      </c>
      <c r="U39" s="11"/>
      <c r="V39" s="11"/>
      <c r="W39" s="13" t="s">
        <v>57</v>
      </c>
      <c r="X39" s="13" t="n">
        <v>8</v>
      </c>
      <c r="Y39" s="13" t="s">
        <v>58</v>
      </c>
      <c r="Z39" s="13" t="s">
        <v>67</v>
      </c>
      <c r="AA39" s="5" t="s">
        <v>73</v>
      </c>
      <c r="AB39" s="5" t="s">
        <v>57</v>
      </c>
    </row>
    <row r="40" customFormat="false" ht="23.85" hidden="false" customHeight="false" outlineLevel="0" collapsed="false">
      <c r="A40" s="7" t="s">
        <v>168</v>
      </c>
      <c r="B40" s="7" t="s">
        <v>169</v>
      </c>
      <c r="C40" s="7" t="s">
        <v>170</v>
      </c>
      <c r="D40" s="7" t="s">
        <v>50</v>
      </c>
      <c r="E40" s="7" t="n">
        <v>18</v>
      </c>
      <c r="F40" s="8" t="n">
        <v>0</v>
      </c>
      <c r="G40" s="9" t="s">
        <v>51</v>
      </c>
      <c r="H40" s="7" t="n">
        <v>0</v>
      </c>
      <c r="I40" s="7" t="s">
        <v>52</v>
      </c>
      <c r="J40" s="7" t="s">
        <v>53</v>
      </c>
      <c r="K40" s="3" t="s">
        <v>54</v>
      </c>
      <c r="L40" s="7" t="n">
        <v>0</v>
      </c>
      <c r="M40" s="7" t="s">
        <v>11</v>
      </c>
      <c r="N40" s="3" t="s">
        <v>55</v>
      </c>
      <c r="O40" s="7" t="s">
        <v>56</v>
      </c>
      <c r="P40" s="3" t="s">
        <v>57</v>
      </c>
      <c r="Q40" s="9" t="s">
        <v>11</v>
      </c>
      <c r="R40" s="4" t="s">
        <v>11</v>
      </c>
      <c r="S40" s="11" t="n">
        <v>0</v>
      </c>
      <c r="T40" s="12"/>
      <c r="U40" s="11"/>
      <c r="V40" s="11"/>
      <c r="W40" s="13" t="s">
        <v>57</v>
      </c>
      <c r="X40" s="13" t="n">
        <v>1</v>
      </c>
      <c r="Y40" s="13" t="s">
        <v>171</v>
      </c>
      <c r="Z40" s="13" t="s">
        <v>59</v>
      </c>
      <c r="AA40" s="5" t="s">
        <v>172</v>
      </c>
      <c r="AB40" s="5" t="s">
        <v>57</v>
      </c>
    </row>
    <row r="41" customFormat="false" ht="23.85" hidden="false" customHeight="false" outlineLevel="0" collapsed="false">
      <c r="A41" s="7" t="s">
        <v>173</v>
      </c>
      <c r="B41" s="7" t="s">
        <v>169</v>
      </c>
      <c r="C41" s="7" t="s">
        <v>170</v>
      </c>
      <c r="D41" s="7" t="s">
        <v>50</v>
      </c>
      <c r="E41" s="7" t="n">
        <v>18</v>
      </c>
      <c r="F41" s="8" t="n">
        <v>0</v>
      </c>
      <c r="G41" s="9" t="s">
        <v>51</v>
      </c>
      <c r="H41" s="7" t="n">
        <v>0</v>
      </c>
      <c r="I41" s="7" t="s">
        <v>52</v>
      </c>
      <c r="J41" s="7" t="s">
        <v>53</v>
      </c>
      <c r="K41" s="3" t="s">
        <v>54</v>
      </c>
      <c r="L41" s="7" t="n">
        <v>0</v>
      </c>
      <c r="M41" s="7" t="s">
        <v>11</v>
      </c>
      <c r="N41" s="3" t="s">
        <v>55</v>
      </c>
      <c r="O41" s="7" t="s">
        <v>56</v>
      </c>
      <c r="P41" s="3" t="s">
        <v>57</v>
      </c>
      <c r="Q41" s="9" t="s">
        <v>11</v>
      </c>
      <c r="R41" s="4" t="s">
        <v>11</v>
      </c>
      <c r="S41" s="11" t="n">
        <v>0</v>
      </c>
      <c r="T41" s="12"/>
      <c r="U41" s="11"/>
      <c r="V41" s="11"/>
      <c r="W41" s="13" t="s">
        <v>57</v>
      </c>
      <c r="X41" s="13" t="n">
        <v>1</v>
      </c>
      <c r="Y41" s="13" t="s">
        <v>171</v>
      </c>
      <c r="Z41" s="13" t="s">
        <v>59</v>
      </c>
      <c r="AA41" s="5" t="s">
        <v>172</v>
      </c>
      <c r="AB41" s="5" t="s">
        <v>57</v>
      </c>
    </row>
    <row r="42" customFormat="false" ht="23.85" hidden="false" customHeight="false" outlineLevel="0" collapsed="false">
      <c r="A42" s="7" t="s">
        <v>174</v>
      </c>
      <c r="B42" s="7" t="s">
        <v>175</v>
      </c>
      <c r="C42" s="7" t="s">
        <v>176</v>
      </c>
      <c r="D42" s="7" t="s">
        <v>50</v>
      </c>
      <c r="E42" s="7" t="n">
        <v>18</v>
      </c>
      <c r="F42" s="8" t="n">
        <v>20000000000</v>
      </c>
      <c r="G42" s="9" t="s">
        <v>51</v>
      </c>
      <c r="H42" s="7" t="n">
        <v>0</v>
      </c>
      <c r="I42" s="7" t="s">
        <v>52</v>
      </c>
      <c r="J42" s="7" t="s">
        <v>53</v>
      </c>
      <c r="K42" s="3" t="s">
        <v>111</v>
      </c>
      <c r="L42" s="7" t="n">
        <v>1</v>
      </c>
      <c r="M42" s="10" t="n">
        <f aca="false">S42/F42</f>
        <v>1</v>
      </c>
      <c r="N42" s="3" t="s">
        <v>55</v>
      </c>
      <c r="O42" s="7" t="s">
        <v>56</v>
      </c>
      <c r="P42" s="3" t="s">
        <v>177</v>
      </c>
      <c r="Q42" s="9" t="s">
        <v>11</v>
      </c>
      <c r="R42" s="4" t="s">
        <v>11</v>
      </c>
      <c r="S42" s="11" t="n">
        <v>20000000000</v>
      </c>
      <c r="T42" s="12" t="n">
        <v>1</v>
      </c>
      <c r="U42" s="11"/>
      <c r="V42" s="11"/>
      <c r="W42" s="13" t="s">
        <v>113</v>
      </c>
      <c r="X42" s="13" t="n">
        <v>3</v>
      </c>
      <c r="Y42" s="13" t="s">
        <v>178</v>
      </c>
      <c r="Z42" s="13" t="s">
        <v>59</v>
      </c>
      <c r="AA42" s="5" t="s">
        <v>179</v>
      </c>
      <c r="AB42" s="5" t="s">
        <v>57</v>
      </c>
    </row>
    <row r="43" customFormat="false" ht="23.85" hidden="false" customHeight="false" outlineLevel="0" collapsed="false">
      <c r="A43" s="7" t="s">
        <v>180</v>
      </c>
      <c r="B43" s="7" t="s">
        <v>175</v>
      </c>
      <c r="C43" s="7" t="s">
        <v>176</v>
      </c>
      <c r="D43" s="7" t="s">
        <v>50</v>
      </c>
      <c r="E43" s="7" t="n">
        <v>18</v>
      </c>
      <c r="F43" s="8" t="n">
        <v>20000000000</v>
      </c>
      <c r="G43" s="9" t="s">
        <v>51</v>
      </c>
      <c r="H43" s="7" t="n">
        <v>0</v>
      </c>
      <c r="I43" s="7" t="s">
        <v>52</v>
      </c>
      <c r="J43" s="7" t="s">
        <v>53</v>
      </c>
      <c r="K43" s="3" t="s">
        <v>111</v>
      </c>
      <c r="L43" s="7" t="n">
        <v>1</v>
      </c>
      <c r="M43" s="10" t="n">
        <f aca="false">S43/F43</f>
        <v>1</v>
      </c>
      <c r="N43" s="3" t="s">
        <v>55</v>
      </c>
      <c r="O43" s="7" t="s">
        <v>56</v>
      </c>
      <c r="P43" s="3" t="s">
        <v>77</v>
      </c>
      <c r="Q43" s="9" t="s">
        <v>11</v>
      </c>
      <c r="R43" s="4" t="s">
        <v>11</v>
      </c>
      <c r="S43" s="11" t="n">
        <v>20000000000</v>
      </c>
      <c r="T43" s="12" t="n">
        <v>1</v>
      </c>
      <c r="U43" s="11"/>
      <c r="V43" s="11"/>
      <c r="W43" s="13" t="s">
        <v>113</v>
      </c>
      <c r="X43" s="13" t="n">
        <v>3</v>
      </c>
      <c r="Y43" s="13" t="s">
        <v>178</v>
      </c>
      <c r="Z43" s="13" t="s">
        <v>59</v>
      </c>
      <c r="AA43" s="5" t="s">
        <v>179</v>
      </c>
      <c r="AB43" s="5" t="s">
        <v>57</v>
      </c>
    </row>
    <row r="44" customFormat="false" ht="23.85" hidden="false" customHeight="false" outlineLevel="0" collapsed="false">
      <c r="A44" s="7" t="s">
        <v>181</v>
      </c>
      <c r="B44" s="7" t="s">
        <v>182</v>
      </c>
      <c r="C44" s="7" t="s">
        <v>183</v>
      </c>
      <c r="D44" s="7" t="s">
        <v>50</v>
      </c>
      <c r="E44" s="7" t="n">
        <v>18</v>
      </c>
      <c r="F44" s="8" t="n">
        <v>20000000000</v>
      </c>
      <c r="G44" s="9" t="s">
        <v>51</v>
      </c>
      <c r="H44" s="7" t="n">
        <v>0</v>
      </c>
      <c r="I44" s="7" t="s">
        <v>52</v>
      </c>
      <c r="J44" s="7" t="s">
        <v>53</v>
      </c>
      <c r="K44" s="3" t="s">
        <v>111</v>
      </c>
      <c r="L44" s="7" t="n">
        <v>1</v>
      </c>
      <c r="M44" s="10" t="n">
        <f aca="false">S44/F44</f>
        <v>1</v>
      </c>
      <c r="N44" s="3" t="s">
        <v>55</v>
      </c>
      <c r="O44" s="7" t="s">
        <v>56</v>
      </c>
      <c r="P44" s="3" t="s">
        <v>77</v>
      </c>
      <c r="Q44" s="9" t="s">
        <v>11</v>
      </c>
      <c r="R44" s="4" t="s">
        <v>11</v>
      </c>
      <c r="S44" s="11" t="n">
        <v>20000000000</v>
      </c>
      <c r="T44" s="12" t="n">
        <v>1</v>
      </c>
      <c r="U44" s="11"/>
      <c r="V44" s="11"/>
      <c r="W44" s="13" t="s">
        <v>113</v>
      </c>
      <c r="X44" s="13" t="n">
        <v>3</v>
      </c>
      <c r="Y44" s="13" t="s">
        <v>178</v>
      </c>
      <c r="Z44" s="13" t="s">
        <v>59</v>
      </c>
      <c r="AA44" s="5" t="s">
        <v>184</v>
      </c>
      <c r="AB44" s="5" t="s">
        <v>57</v>
      </c>
    </row>
    <row r="45" customFormat="false" ht="23.85" hidden="false" customHeight="false" outlineLevel="0" collapsed="false">
      <c r="A45" s="7" t="s">
        <v>185</v>
      </c>
      <c r="B45" s="7" t="s">
        <v>182</v>
      </c>
      <c r="C45" s="7" t="s">
        <v>183</v>
      </c>
      <c r="D45" s="7" t="s">
        <v>50</v>
      </c>
      <c r="E45" s="7" t="n">
        <v>18</v>
      </c>
      <c r="F45" s="8" t="n">
        <v>20000000000</v>
      </c>
      <c r="G45" s="9" t="s">
        <v>51</v>
      </c>
      <c r="H45" s="7" t="n">
        <v>0</v>
      </c>
      <c r="I45" s="7" t="s">
        <v>52</v>
      </c>
      <c r="J45" s="7" t="s">
        <v>53</v>
      </c>
      <c r="K45" s="3" t="s">
        <v>111</v>
      </c>
      <c r="L45" s="7" t="n">
        <v>1</v>
      </c>
      <c r="M45" s="10" t="n">
        <f aca="false">S45/F45</f>
        <v>1</v>
      </c>
      <c r="N45" s="3" t="s">
        <v>55</v>
      </c>
      <c r="O45" s="7" t="s">
        <v>56</v>
      </c>
      <c r="P45" s="3" t="s">
        <v>177</v>
      </c>
      <c r="Q45" s="9" t="s">
        <v>11</v>
      </c>
      <c r="R45" s="4" t="s">
        <v>11</v>
      </c>
      <c r="S45" s="11" t="n">
        <v>20000000000</v>
      </c>
      <c r="T45" s="12" t="n">
        <v>1</v>
      </c>
      <c r="U45" s="11"/>
      <c r="V45" s="11"/>
      <c r="W45" s="13" t="s">
        <v>113</v>
      </c>
      <c r="X45" s="13" t="n">
        <v>3</v>
      </c>
      <c r="Y45" s="13" t="s">
        <v>178</v>
      </c>
      <c r="Z45" s="13" t="s">
        <v>59</v>
      </c>
      <c r="AA45" s="5" t="s">
        <v>184</v>
      </c>
      <c r="AB45" s="5" t="s">
        <v>57</v>
      </c>
    </row>
    <row r="46" customFormat="false" ht="23.85" hidden="false" customHeight="false" outlineLevel="0" collapsed="false">
      <c r="A46" s="7" t="s">
        <v>186</v>
      </c>
      <c r="B46" s="7" t="s">
        <v>175</v>
      </c>
      <c r="C46" s="7" t="s">
        <v>187</v>
      </c>
      <c r="D46" s="7" t="s">
        <v>50</v>
      </c>
      <c r="E46" s="7" t="n">
        <v>18</v>
      </c>
      <c r="F46" s="8" t="n">
        <v>20000000000</v>
      </c>
      <c r="G46" s="9" t="s">
        <v>51</v>
      </c>
      <c r="H46" s="7" t="n">
        <v>0</v>
      </c>
      <c r="I46" s="7" t="s">
        <v>52</v>
      </c>
      <c r="J46" s="7" t="s">
        <v>53</v>
      </c>
      <c r="K46" s="3" t="s">
        <v>111</v>
      </c>
      <c r="L46" s="7" t="n">
        <v>1</v>
      </c>
      <c r="M46" s="10" t="n">
        <f aca="false">S46/F46</f>
        <v>1</v>
      </c>
      <c r="N46" s="3" t="s">
        <v>55</v>
      </c>
      <c r="O46" s="7" t="s">
        <v>56</v>
      </c>
      <c r="P46" s="3" t="s">
        <v>57</v>
      </c>
      <c r="Q46" s="9" t="s">
        <v>11</v>
      </c>
      <c r="R46" s="4" t="s">
        <v>11</v>
      </c>
      <c r="S46" s="11" t="n">
        <v>20000000000</v>
      </c>
      <c r="T46" s="12" t="n">
        <v>1</v>
      </c>
      <c r="U46" s="11"/>
      <c r="V46" s="11"/>
      <c r="W46" s="13" t="s">
        <v>113</v>
      </c>
      <c r="X46" s="13" t="n">
        <v>6</v>
      </c>
      <c r="Y46" s="13" t="s">
        <v>188</v>
      </c>
      <c r="Z46" s="13" t="s">
        <v>59</v>
      </c>
      <c r="AA46" s="5" t="s">
        <v>189</v>
      </c>
      <c r="AB46" s="5" t="s">
        <v>57</v>
      </c>
    </row>
    <row r="47" customFormat="false" ht="23.85" hidden="false" customHeight="false" outlineLevel="0" collapsed="false">
      <c r="A47" s="7" t="s">
        <v>190</v>
      </c>
      <c r="B47" s="7" t="s">
        <v>175</v>
      </c>
      <c r="C47" s="7" t="s">
        <v>187</v>
      </c>
      <c r="D47" s="7" t="s">
        <v>50</v>
      </c>
      <c r="E47" s="7" t="n">
        <v>18</v>
      </c>
      <c r="F47" s="8" t="n">
        <v>20000000000</v>
      </c>
      <c r="G47" s="9" t="s">
        <v>51</v>
      </c>
      <c r="H47" s="7" t="n">
        <v>0</v>
      </c>
      <c r="I47" s="7" t="s">
        <v>52</v>
      </c>
      <c r="J47" s="7" t="s">
        <v>53</v>
      </c>
      <c r="K47" s="3" t="s">
        <v>111</v>
      </c>
      <c r="L47" s="7" t="n">
        <v>1</v>
      </c>
      <c r="M47" s="10" t="n">
        <f aca="false">S47/F47</f>
        <v>1</v>
      </c>
      <c r="N47" s="3" t="s">
        <v>55</v>
      </c>
      <c r="O47" s="7" t="s">
        <v>56</v>
      </c>
      <c r="P47" s="3" t="s">
        <v>177</v>
      </c>
      <c r="Q47" s="9" t="s">
        <v>11</v>
      </c>
      <c r="R47" s="4" t="s">
        <v>11</v>
      </c>
      <c r="S47" s="11" t="n">
        <v>20000000000</v>
      </c>
      <c r="T47" s="12" t="n">
        <v>1</v>
      </c>
      <c r="U47" s="11"/>
      <c r="V47" s="11"/>
      <c r="W47" s="13" t="s">
        <v>113</v>
      </c>
      <c r="X47" s="13" t="n">
        <v>6</v>
      </c>
      <c r="Y47" s="13" t="s">
        <v>188</v>
      </c>
      <c r="Z47" s="13" t="s">
        <v>59</v>
      </c>
      <c r="AA47" s="5" t="s">
        <v>189</v>
      </c>
      <c r="AB47" s="5" t="s">
        <v>57</v>
      </c>
    </row>
    <row r="48" customFormat="false" ht="23.85" hidden="false" customHeight="false" outlineLevel="0" collapsed="false">
      <c r="A48" s="7" t="s">
        <v>191</v>
      </c>
      <c r="B48" s="7" t="s">
        <v>175</v>
      </c>
      <c r="C48" s="7" t="s">
        <v>187</v>
      </c>
      <c r="D48" s="7" t="s">
        <v>50</v>
      </c>
      <c r="E48" s="7" t="n">
        <v>18</v>
      </c>
      <c r="F48" s="8" t="n">
        <v>20000000000</v>
      </c>
      <c r="G48" s="9" t="s">
        <v>51</v>
      </c>
      <c r="H48" s="7" t="n">
        <v>0</v>
      </c>
      <c r="I48" s="7" t="s">
        <v>52</v>
      </c>
      <c r="J48" s="7" t="s">
        <v>53</v>
      </c>
      <c r="K48" s="3" t="s">
        <v>111</v>
      </c>
      <c r="L48" s="7" t="n">
        <v>2</v>
      </c>
      <c r="M48" s="10" t="n">
        <f aca="false">S48/F48</f>
        <v>1</v>
      </c>
      <c r="N48" s="3" t="s">
        <v>55</v>
      </c>
      <c r="O48" s="7" t="s">
        <v>56</v>
      </c>
      <c r="P48" s="3" t="s">
        <v>177</v>
      </c>
      <c r="Q48" s="9" t="s">
        <v>11</v>
      </c>
      <c r="R48" s="4" t="s">
        <v>11</v>
      </c>
      <c r="S48" s="11" t="n">
        <v>20000000000</v>
      </c>
      <c r="T48" s="12" t="n">
        <v>1</v>
      </c>
      <c r="U48" s="11"/>
      <c r="V48" s="11"/>
      <c r="W48" s="13" t="s">
        <v>113</v>
      </c>
      <c r="X48" s="13" t="n">
        <v>6</v>
      </c>
      <c r="Y48" s="13" t="s">
        <v>188</v>
      </c>
      <c r="Z48" s="13" t="s">
        <v>59</v>
      </c>
      <c r="AA48" s="5" t="s">
        <v>189</v>
      </c>
      <c r="AB48" s="5" t="s">
        <v>57</v>
      </c>
    </row>
    <row r="49" customFormat="false" ht="23.85" hidden="false" customHeight="false" outlineLevel="0" collapsed="false">
      <c r="A49" s="7" t="s">
        <v>192</v>
      </c>
      <c r="B49" s="7" t="s">
        <v>175</v>
      </c>
      <c r="C49" s="7" t="s">
        <v>187</v>
      </c>
      <c r="D49" s="7" t="s">
        <v>50</v>
      </c>
      <c r="E49" s="7" t="n">
        <v>18</v>
      </c>
      <c r="F49" s="8" t="n">
        <v>20000000000</v>
      </c>
      <c r="G49" s="9" t="s">
        <v>51</v>
      </c>
      <c r="H49" s="7" t="n">
        <v>0</v>
      </c>
      <c r="I49" s="7" t="s">
        <v>52</v>
      </c>
      <c r="J49" s="7" t="s">
        <v>53</v>
      </c>
      <c r="K49" s="3" t="s">
        <v>111</v>
      </c>
      <c r="L49" s="7" t="n">
        <v>1</v>
      </c>
      <c r="M49" s="10" t="n">
        <f aca="false">S49/F49</f>
        <v>1</v>
      </c>
      <c r="N49" s="3" t="s">
        <v>55</v>
      </c>
      <c r="O49" s="7" t="s">
        <v>56</v>
      </c>
      <c r="P49" s="3" t="s">
        <v>177</v>
      </c>
      <c r="Q49" s="9" t="s">
        <v>11</v>
      </c>
      <c r="R49" s="4" t="s">
        <v>11</v>
      </c>
      <c r="S49" s="11" t="n">
        <v>20000000000</v>
      </c>
      <c r="T49" s="12" t="n">
        <v>1</v>
      </c>
      <c r="U49" s="11"/>
      <c r="V49" s="11"/>
      <c r="W49" s="13" t="s">
        <v>113</v>
      </c>
      <c r="X49" s="13" t="n">
        <v>6</v>
      </c>
      <c r="Y49" s="13" t="s">
        <v>188</v>
      </c>
      <c r="Z49" s="13" t="s">
        <v>59</v>
      </c>
      <c r="AA49" s="5" t="s">
        <v>189</v>
      </c>
      <c r="AB49" s="5" t="s">
        <v>57</v>
      </c>
    </row>
    <row r="50" customFormat="false" ht="23.85" hidden="false" customHeight="false" outlineLevel="0" collapsed="false">
      <c r="A50" s="7" t="s">
        <v>193</v>
      </c>
      <c r="B50" s="7" t="s">
        <v>182</v>
      </c>
      <c r="C50" s="7" t="s">
        <v>194</v>
      </c>
      <c r="D50" s="7" t="s">
        <v>50</v>
      </c>
      <c r="E50" s="7" t="n">
        <v>18</v>
      </c>
      <c r="F50" s="8" t="n">
        <v>20000000000</v>
      </c>
      <c r="G50" s="9" t="s">
        <v>51</v>
      </c>
      <c r="H50" s="7" t="n">
        <v>0</v>
      </c>
      <c r="I50" s="7" t="s">
        <v>52</v>
      </c>
      <c r="J50" s="7" t="s">
        <v>53</v>
      </c>
      <c r="K50" s="3" t="s">
        <v>111</v>
      </c>
      <c r="L50" s="7" t="n">
        <v>1</v>
      </c>
      <c r="M50" s="10" t="n">
        <f aca="false">S50/F50</f>
        <v>1</v>
      </c>
      <c r="N50" s="3" t="s">
        <v>55</v>
      </c>
      <c r="O50" s="7" t="s">
        <v>56</v>
      </c>
      <c r="P50" s="3" t="s">
        <v>177</v>
      </c>
      <c r="Q50" s="9" t="s">
        <v>11</v>
      </c>
      <c r="R50" s="4" t="s">
        <v>11</v>
      </c>
      <c r="S50" s="11" t="n">
        <v>20000000000</v>
      </c>
      <c r="T50" s="12" t="n">
        <v>1</v>
      </c>
      <c r="U50" s="11"/>
      <c r="V50" s="11"/>
      <c r="W50" s="13" t="s">
        <v>113</v>
      </c>
      <c r="X50" s="13" t="n">
        <v>6</v>
      </c>
      <c r="Y50" s="13" t="s">
        <v>188</v>
      </c>
      <c r="Z50" s="13" t="s">
        <v>59</v>
      </c>
      <c r="AA50" s="5" t="s">
        <v>195</v>
      </c>
      <c r="AB50" s="5" t="s">
        <v>57</v>
      </c>
    </row>
    <row r="51" customFormat="false" ht="23.85" hidden="false" customHeight="false" outlineLevel="0" collapsed="false">
      <c r="A51" s="7" t="s">
        <v>196</v>
      </c>
      <c r="B51" s="7" t="s">
        <v>182</v>
      </c>
      <c r="C51" s="7" t="s">
        <v>194</v>
      </c>
      <c r="D51" s="7" t="s">
        <v>50</v>
      </c>
      <c r="E51" s="7" t="n">
        <v>18</v>
      </c>
      <c r="F51" s="8" t="n">
        <v>20000000000</v>
      </c>
      <c r="G51" s="9" t="s">
        <v>51</v>
      </c>
      <c r="H51" s="7" t="n">
        <v>0</v>
      </c>
      <c r="I51" s="7" t="s">
        <v>52</v>
      </c>
      <c r="J51" s="7" t="s">
        <v>53</v>
      </c>
      <c r="K51" s="3" t="s">
        <v>111</v>
      </c>
      <c r="L51" s="7" t="n">
        <v>1</v>
      </c>
      <c r="M51" s="10" t="n">
        <f aca="false">S51/F51</f>
        <v>1</v>
      </c>
      <c r="N51" s="3" t="s">
        <v>55</v>
      </c>
      <c r="O51" s="7" t="s">
        <v>56</v>
      </c>
      <c r="P51" s="3" t="s">
        <v>177</v>
      </c>
      <c r="Q51" s="9" t="s">
        <v>11</v>
      </c>
      <c r="R51" s="4" t="s">
        <v>11</v>
      </c>
      <c r="S51" s="11" t="n">
        <v>20000000000</v>
      </c>
      <c r="T51" s="12" t="n">
        <v>1</v>
      </c>
      <c r="U51" s="11"/>
      <c r="V51" s="11"/>
      <c r="W51" s="13" t="s">
        <v>113</v>
      </c>
      <c r="X51" s="13" t="n">
        <v>6</v>
      </c>
      <c r="Y51" s="13" t="s">
        <v>188</v>
      </c>
      <c r="Z51" s="13" t="s">
        <v>59</v>
      </c>
      <c r="AA51" s="5" t="s">
        <v>195</v>
      </c>
      <c r="AB51" s="5" t="s">
        <v>57</v>
      </c>
    </row>
    <row r="52" customFormat="false" ht="23.85" hidden="false" customHeight="false" outlineLevel="0" collapsed="false">
      <c r="A52" s="7" t="s">
        <v>197</v>
      </c>
      <c r="B52" s="7" t="s">
        <v>182</v>
      </c>
      <c r="C52" s="7" t="s">
        <v>194</v>
      </c>
      <c r="D52" s="7" t="s">
        <v>50</v>
      </c>
      <c r="E52" s="7" t="n">
        <v>18</v>
      </c>
      <c r="F52" s="8" t="n">
        <v>20000000000</v>
      </c>
      <c r="G52" s="9" t="s">
        <v>51</v>
      </c>
      <c r="H52" s="7" t="n">
        <v>0</v>
      </c>
      <c r="I52" s="7" t="s">
        <v>52</v>
      </c>
      <c r="J52" s="7" t="s">
        <v>53</v>
      </c>
      <c r="K52" s="3" t="s">
        <v>111</v>
      </c>
      <c r="L52" s="7" t="n">
        <v>2</v>
      </c>
      <c r="M52" s="10" t="n">
        <f aca="false">S52/F52</f>
        <v>1</v>
      </c>
      <c r="N52" s="3" t="s">
        <v>55</v>
      </c>
      <c r="O52" s="7" t="s">
        <v>56</v>
      </c>
      <c r="P52" s="3" t="s">
        <v>177</v>
      </c>
      <c r="Q52" s="9" t="s">
        <v>11</v>
      </c>
      <c r="R52" s="4" t="s">
        <v>11</v>
      </c>
      <c r="S52" s="11" t="n">
        <v>20000000000</v>
      </c>
      <c r="T52" s="12" t="n">
        <v>1</v>
      </c>
      <c r="U52" s="11"/>
      <c r="V52" s="11"/>
      <c r="W52" s="13" t="s">
        <v>113</v>
      </c>
      <c r="X52" s="13" t="n">
        <v>6</v>
      </c>
      <c r="Y52" s="13" t="s">
        <v>188</v>
      </c>
      <c r="Z52" s="13" t="s">
        <v>59</v>
      </c>
      <c r="AA52" s="5" t="s">
        <v>195</v>
      </c>
      <c r="AB52" s="5" t="s">
        <v>57</v>
      </c>
    </row>
    <row r="53" customFormat="false" ht="23.85" hidden="false" customHeight="false" outlineLevel="0" collapsed="false">
      <c r="A53" s="7" t="s">
        <v>198</v>
      </c>
      <c r="B53" s="7" t="s">
        <v>199</v>
      </c>
      <c r="C53" s="7" t="s">
        <v>199</v>
      </c>
      <c r="D53" s="7" t="s">
        <v>50</v>
      </c>
      <c r="E53" s="7" t="n">
        <v>18</v>
      </c>
      <c r="F53" s="8" t="n">
        <v>55000000</v>
      </c>
      <c r="G53" s="9" t="s">
        <v>51</v>
      </c>
      <c r="H53" s="7" t="n">
        <v>0</v>
      </c>
      <c r="I53" s="7" t="s">
        <v>52</v>
      </c>
      <c r="J53" s="7" t="s">
        <v>53</v>
      </c>
      <c r="K53" s="3" t="s">
        <v>63</v>
      </c>
      <c r="L53" s="7" t="n">
        <v>8</v>
      </c>
      <c r="M53" s="10" t="n">
        <f aca="false">S53/F53</f>
        <v>1</v>
      </c>
      <c r="N53" s="3" t="s">
        <v>55</v>
      </c>
      <c r="O53" s="7" t="s">
        <v>56</v>
      </c>
      <c r="P53" s="3" t="s">
        <v>57</v>
      </c>
      <c r="Q53" s="9" t="s">
        <v>11</v>
      </c>
      <c r="R53" s="4" t="s">
        <v>11</v>
      </c>
      <c r="S53" s="11" t="n">
        <v>55000000</v>
      </c>
      <c r="T53" s="12" t="n">
        <v>1</v>
      </c>
      <c r="U53" s="11"/>
      <c r="V53" s="11"/>
      <c r="W53" s="13" t="s">
        <v>65</v>
      </c>
      <c r="X53" s="13" t="n">
        <v>3</v>
      </c>
      <c r="Y53" s="13" t="s">
        <v>66</v>
      </c>
      <c r="Z53" s="13" t="s">
        <v>59</v>
      </c>
      <c r="AA53" s="5" t="s">
        <v>200</v>
      </c>
      <c r="AB53" s="5" t="s">
        <v>57</v>
      </c>
    </row>
    <row r="54" customFormat="false" ht="23.85" hidden="false" customHeight="false" outlineLevel="0" collapsed="false">
      <c r="A54" s="7" t="s">
        <v>201</v>
      </c>
      <c r="B54" s="7" t="s">
        <v>202</v>
      </c>
      <c r="C54" s="7" t="s">
        <v>203</v>
      </c>
      <c r="D54" s="7" t="s">
        <v>50</v>
      </c>
      <c r="E54" s="7" t="n">
        <v>18</v>
      </c>
      <c r="F54" s="8" t="n">
        <v>1E+018</v>
      </c>
      <c r="G54" s="9" t="s">
        <v>51</v>
      </c>
      <c r="H54" s="7" t="n">
        <v>0</v>
      </c>
      <c r="I54" s="7" t="s">
        <v>52</v>
      </c>
      <c r="J54" s="7" t="s">
        <v>53</v>
      </c>
      <c r="K54" s="3" t="s">
        <v>204</v>
      </c>
      <c r="L54" s="7" t="s">
        <v>205</v>
      </c>
      <c r="M54" s="10" t="n">
        <f aca="false">S54/F54</f>
        <v>1</v>
      </c>
      <c r="N54" s="3" t="s">
        <v>55</v>
      </c>
      <c r="O54" s="7" t="s">
        <v>56</v>
      </c>
      <c r="P54" s="3" t="s">
        <v>57</v>
      </c>
      <c r="Q54" s="9" t="s">
        <v>11</v>
      </c>
      <c r="R54" s="4" t="s">
        <v>11</v>
      </c>
      <c r="S54" s="11" t="n">
        <v>1E+018</v>
      </c>
      <c r="T54" s="12" t="n">
        <v>1</v>
      </c>
      <c r="U54" s="11"/>
      <c r="V54" s="11"/>
      <c r="W54" s="13" t="s">
        <v>206</v>
      </c>
      <c r="X54" s="13" t="n">
        <v>0</v>
      </c>
      <c r="Y54" s="13" t="s">
        <v>207</v>
      </c>
      <c r="Z54" s="13" t="s">
        <v>59</v>
      </c>
      <c r="AA54" s="5" t="s">
        <v>57</v>
      </c>
      <c r="AB54" s="5" t="s">
        <v>57</v>
      </c>
    </row>
    <row r="55" customFormat="false" ht="23.85" hidden="false" customHeight="false" outlineLevel="0" collapsed="false">
      <c r="A55" s="7" t="s">
        <v>208</v>
      </c>
      <c r="B55" s="7" t="s">
        <v>209</v>
      </c>
      <c r="C55" s="7" t="s">
        <v>210</v>
      </c>
      <c r="D55" s="7" t="s">
        <v>50</v>
      </c>
      <c r="E55" s="7" t="n">
        <v>18</v>
      </c>
      <c r="F55" s="8" t="n">
        <v>0</v>
      </c>
      <c r="G55" s="9" t="s">
        <v>51</v>
      </c>
      <c r="H55" s="7" t="n">
        <v>0</v>
      </c>
      <c r="I55" s="7" t="s">
        <v>52</v>
      </c>
      <c r="J55" s="7" t="s">
        <v>53</v>
      </c>
      <c r="K55" s="3" t="s">
        <v>54</v>
      </c>
      <c r="L55" s="7" t="n">
        <v>0</v>
      </c>
      <c r="M55" s="7" t="s">
        <v>11</v>
      </c>
      <c r="N55" s="3" t="s">
        <v>55</v>
      </c>
      <c r="O55" s="7" t="s">
        <v>56</v>
      </c>
      <c r="P55" s="3" t="s">
        <v>57</v>
      </c>
      <c r="Q55" s="9" t="s">
        <v>11</v>
      </c>
      <c r="R55" s="4" t="s">
        <v>11</v>
      </c>
      <c r="S55" s="11" t="n">
        <v>0</v>
      </c>
      <c r="T55" s="12"/>
      <c r="U55" s="11"/>
      <c r="V55" s="11"/>
      <c r="W55" s="13" t="s">
        <v>57</v>
      </c>
      <c r="X55" s="13" t="n">
        <v>2</v>
      </c>
      <c r="Y55" s="13" t="s">
        <v>211</v>
      </c>
      <c r="Z55" s="13" t="s">
        <v>59</v>
      </c>
      <c r="AA55" s="5" t="s">
        <v>212</v>
      </c>
      <c r="AB55" s="5" t="s">
        <v>57</v>
      </c>
    </row>
    <row r="56" customFormat="false" ht="23.85" hidden="false" customHeight="false" outlineLevel="0" collapsed="false">
      <c r="A56" s="7" t="s">
        <v>213</v>
      </c>
      <c r="B56" s="7" t="s">
        <v>209</v>
      </c>
      <c r="C56" s="7" t="s">
        <v>210</v>
      </c>
      <c r="D56" s="7" t="s">
        <v>50</v>
      </c>
      <c r="E56" s="7" t="n">
        <v>18</v>
      </c>
      <c r="F56" s="8" t="n">
        <v>0</v>
      </c>
      <c r="G56" s="9" t="s">
        <v>51</v>
      </c>
      <c r="H56" s="7" t="n">
        <v>0</v>
      </c>
      <c r="I56" s="7" t="s">
        <v>52</v>
      </c>
      <c r="J56" s="7" t="s">
        <v>53</v>
      </c>
      <c r="K56" s="3" t="s">
        <v>54</v>
      </c>
      <c r="L56" s="7" t="n">
        <v>0</v>
      </c>
      <c r="M56" s="7" t="s">
        <v>11</v>
      </c>
      <c r="N56" s="3" t="s">
        <v>55</v>
      </c>
      <c r="O56" s="7" t="s">
        <v>56</v>
      </c>
      <c r="P56" s="3" t="s">
        <v>57</v>
      </c>
      <c r="Q56" s="9" t="s">
        <v>11</v>
      </c>
      <c r="R56" s="4" t="s">
        <v>11</v>
      </c>
      <c r="S56" s="11" t="n">
        <v>0</v>
      </c>
      <c r="T56" s="12"/>
      <c r="U56" s="11"/>
      <c r="V56" s="11"/>
      <c r="W56" s="13" t="s">
        <v>57</v>
      </c>
      <c r="X56" s="13" t="n">
        <v>2</v>
      </c>
      <c r="Y56" s="13" t="s">
        <v>211</v>
      </c>
      <c r="Z56" s="13" t="s">
        <v>59</v>
      </c>
      <c r="AA56" s="5" t="s">
        <v>212</v>
      </c>
      <c r="AB56" s="5" t="s">
        <v>57</v>
      </c>
    </row>
    <row r="57" customFormat="false" ht="23.85" hidden="false" customHeight="false" outlineLevel="0" collapsed="false">
      <c r="A57" s="7" t="s">
        <v>214</v>
      </c>
      <c r="B57" s="7" t="s">
        <v>209</v>
      </c>
      <c r="C57" s="7" t="s">
        <v>210</v>
      </c>
      <c r="D57" s="7" t="s">
        <v>50</v>
      </c>
      <c r="E57" s="7" t="n">
        <v>18</v>
      </c>
      <c r="F57" s="8" t="n">
        <v>0</v>
      </c>
      <c r="G57" s="9" t="s">
        <v>51</v>
      </c>
      <c r="H57" s="7" t="n">
        <v>0</v>
      </c>
      <c r="I57" s="7" t="s">
        <v>52</v>
      </c>
      <c r="J57" s="7" t="s">
        <v>53</v>
      </c>
      <c r="K57" s="3" t="s">
        <v>54</v>
      </c>
      <c r="L57" s="7" t="n">
        <v>0</v>
      </c>
      <c r="M57" s="7" t="s">
        <v>11</v>
      </c>
      <c r="N57" s="3" t="s">
        <v>55</v>
      </c>
      <c r="O57" s="7" t="s">
        <v>56</v>
      </c>
      <c r="P57" s="3" t="s">
        <v>57</v>
      </c>
      <c r="Q57" s="9" t="s">
        <v>11</v>
      </c>
      <c r="R57" s="4" t="s">
        <v>11</v>
      </c>
      <c r="S57" s="11" t="n">
        <v>0</v>
      </c>
      <c r="T57" s="12"/>
      <c r="U57" s="11"/>
      <c r="V57" s="11"/>
      <c r="W57" s="13" t="s">
        <v>57</v>
      </c>
      <c r="X57" s="13" t="n">
        <v>2</v>
      </c>
      <c r="Y57" s="13" t="s">
        <v>211</v>
      </c>
      <c r="Z57" s="13" t="s">
        <v>59</v>
      </c>
      <c r="AA57" s="5" t="s">
        <v>212</v>
      </c>
      <c r="AB57" s="5" t="s">
        <v>57</v>
      </c>
    </row>
    <row r="58" customFormat="false" ht="23.85" hidden="false" customHeight="false" outlineLevel="0" collapsed="false">
      <c r="A58" s="7" t="s">
        <v>215</v>
      </c>
      <c r="B58" s="7" t="s">
        <v>216</v>
      </c>
      <c r="C58" s="7" t="s">
        <v>217</v>
      </c>
      <c r="D58" s="7" t="s">
        <v>218</v>
      </c>
      <c r="E58" s="7" t="n">
        <v>18</v>
      </c>
      <c r="F58" s="8" t="n">
        <v>0</v>
      </c>
      <c r="G58" s="9" t="s">
        <v>51</v>
      </c>
      <c r="H58" s="7" t="n">
        <v>0</v>
      </c>
      <c r="I58" s="7" t="s">
        <v>52</v>
      </c>
      <c r="J58" s="7" t="s">
        <v>53</v>
      </c>
      <c r="K58" s="3" t="s">
        <v>99</v>
      </c>
      <c r="L58" s="7" t="s">
        <v>219</v>
      </c>
      <c r="M58" s="7" t="s">
        <v>11</v>
      </c>
      <c r="N58" s="3" t="s">
        <v>55</v>
      </c>
      <c r="O58" s="7" t="s">
        <v>56</v>
      </c>
      <c r="P58" s="3" t="s">
        <v>220</v>
      </c>
      <c r="Q58" s="9" t="s">
        <v>11</v>
      </c>
      <c r="R58" s="4" t="s">
        <v>11</v>
      </c>
      <c r="S58" s="11" t="n">
        <v>55000000</v>
      </c>
      <c r="T58" s="12"/>
      <c r="U58" s="11"/>
      <c r="V58" s="11" t="n">
        <v>55000000</v>
      </c>
      <c r="W58" s="13" t="s">
        <v>65</v>
      </c>
      <c r="X58" s="13" t="n">
        <v>2</v>
      </c>
      <c r="Y58" s="13" t="s">
        <v>221</v>
      </c>
      <c r="Z58" s="13" t="s">
        <v>59</v>
      </c>
      <c r="AA58" s="5" t="s">
        <v>222</v>
      </c>
      <c r="AB58" s="14" t="s">
        <v>223</v>
      </c>
    </row>
    <row r="59" customFormat="false" ht="23.85" hidden="false" customHeight="false" outlineLevel="0" collapsed="false">
      <c r="A59" s="7" t="s">
        <v>224</v>
      </c>
      <c r="B59" s="7" t="s">
        <v>216</v>
      </c>
      <c r="C59" s="7" t="s">
        <v>217</v>
      </c>
      <c r="D59" s="7" t="s">
        <v>218</v>
      </c>
      <c r="E59" s="7" t="n">
        <v>18</v>
      </c>
      <c r="F59" s="8" t="n">
        <v>0</v>
      </c>
      <c r="G59" s="9" t="s">
        <v>51</v>
      </c>
      <c r="H59" s="7" t="n">
        <v>0</v>
      </c>
      <c r="I59" s="7" t="s">
        <v>52</v>
      </c>
      <c r="J59" s="7" t="s">
        <v>53</v>
      </c>
      <c r="K59" s="3" t="s">
        <v>99</v>
      </c>
      <c r="L59" s="7" t="s">
        <v>219</v>
      </c>
      <c r="M59" s="7" t="s">
        <v>11</v>
      </c>
      <c r="N59" s="3" t="s">
        <v>55</v>
      </c>
      <c r="O59" s="7" t="s">
        <v>56</v>
      </c>
      <c r="P59" s="3" t="s">
        <v>57</v>
      </c>
      <c r="Q59" s="9" t="s">
        <v>11</v>
      </c>
      <c r="R59" s="4" t="s">
        <v>11</v>
      </c>
      <c r="S59" s="11" t="n">
        <v>55000000</v>
      </c>
      <c r="T59" s="12"/>
      <c r="U59" s="11"/>
      <c r="V59" s="11" t="n">
        <v>55000000</v>
      </c>
      <c r="W59" s="13" t="s">
        <v>65</v>
      </c>
      <c r="X59" s="13" t="n">
        <v>2</v>
      </c>
      <c r="Y59" s="13" t="s">
        <v>221</v>
      </c>
      <c r="Z59" s="13" t="s">
        <v>59</v>
      </c>
      <c r="AA59" s="5" t="s">
        <v>222</v>
      </c>
      <c r="AB59" s="14" t="s">
        <v>223</v>
      </c>
    </row>
    <row r="60" customFormat="false" ht="23.85" hidden="false" customHeight="false" outlineLevel="0" collapsed="false">
      <c r="A60" s="7" t="s">
        <v>225</v>
      </c>
      <c r="B60" s="7" t="s">
        <v>216</v>
      </c>
      <c r="C60" s="7" t="s">
        <v>217</v>
      </c>
      <c r="D60" s="7" t="s">
        <v>218</v>
      </c>
      <c r="E60" s="7" t="n">
        <v>18</v>
      </c>
      <c r="F60" s="8" t="n">
        <v>0</v>
      </c>
      <c r="G60" s="9" t="s">
        <v>51</v>
      </c>
      <c r="H60" s="7" t="n">
        <v>0</v>
      </c>
      <c r="I60" s="7" t="s">
        <v>52</v>
      </c>
      <c r="J60" s="7" t="s">
        <v>53</v>
      </c>
      <c r="K60" s="3" t="s">
        <v>54</v>
      </c>
      <c r="L60" s="7" t="n">
        <v>0</v>
      </c>
      <c r="M60" s="7" t="s">
        <v>11</v>
      </c>
      <c r="N60" s="3" t="s">
        <v>55</v>
      </c>
      <c r="O60" s="7" t="s">
        <v>56</v>
      </c>
      <c r="P60" s="3" t="s">
        <v>57</v>
      </c>
      <c r="Q60" s="9" t="s">
        <v>11</v>
      </c>
      <c r="R60" s="4" t="s">
        <v>11</v>
      </c>
      <c r="S60" s="11" t="n">
        <v>0</v>
      </c>
      <c r="T60" s="12"/>
      <c r="U60" s="11"/>
      <c r="V60" s="11"/>
      <c r="W60" s="13" t="s">
        <v>57</v>
      </c>
      <c r="X60" s="13" t="n">
        <v>0</v>
      </c>
      <c r="Y60" s="13" t="s">
        <v>226</v>
      </c>
      <c r="Z60" s="13" t="s">
        <v>59</v>
      </c>
      <c r="AA60" s="5" t="s">
        <v>227</v>
      </c>
      <c r="AB60" s="14" t="s">
        <v>223</v>
      </c>
    </row>
    <row r="61" customFormat="false" ht="23.85" hidden="false" customHeight="false" outlineLevel="0" collapsed="false">
      <c r="A61" s="7" t="s">
        <v>228</v>
      </c>
      <c r="B61" s="7" t="s">
        <v>216</v>
      </c>
      <c r="C61" s="7" t="s">
        <v>217</v>
      </c>
      <c r="D61" s="7" t="s">
        <v>218</v>
      </c>
      <c r="E61" s="7" t="n">
        <v>18</v>
      </c>
      <c r="F61" s="8" t="n">
        <v>0</v>
      </c>
      <c r="G61" s="9" t="s">
        <v>51</v>
      </c>
      <c r="H61" s="7" t="n">
        <v>0</v>
      </c>
      <c r="I61" s="7" t="s">
        <v>52</v>
      </c>
      <c r="J61" s="7" t="s">
        <v>53</v>
      </c>
      <c r="K61" s="3" t="s">
        <v>99</v>
      </c>
      <c r="L61" s="7" t="s">
        <v>219</v>
      </c>
      <c r="M61" s="7" t="s">
        <v>11</v>
      </c>
      <c r="N61" s="3" t="s">
        <v>55</v>
      </c>
      <c r="O61" s="7" t="s">
        <v>56</v>
      </c>
      <c r="P61" s="3" t="s">
        <v>57</v>
      </c>
      <c r="Q61" s="9" t="s">
        <v>11</v>
      </c>
      <c r="R61" s="4" t="s">
        <v>11</v>
      </c>
      <c r="S61" s="11" t="n">
        <v>55000000</v>
      </c>
      <c r="T61" s="12"/>
      <c r="U61" s="11"/>
      <c r="V61" s="11" t="n">
        <v>55000000</v>
      </c>
      <c r="W61" s="13" t="s">
        <v>65</v>
      </c>
      <c r="X61" s="13" t="n">
        <v>2</v>
      </c>
      <c r="Y61" s="13" t="s">
        <v>221</v>
      </c>
      <c r="Z61" s="13" t="s">
        <v>59</v>
      </c>
      <c r="AA61" s="5" t="s">
        <v>222</v>
      </c>
      <c r="AB61" s="14" t="s">
        <v>223</v>
      </c>
    </row>
    <row r="62" customFormat="false" ht="23.85" hidden="false" customHeight="false" outlineLevel="0" collapsed="false">
      <c r="A62" s="7" t="s">
        <v>229</v>
      </c>
      <c r="B62" s="7" t="s">
        <v>230</v>
      </c>
      <c r="C62" s="7" t="s">
        <v>231</v>
      </c>
      <c r="D62" s="7" t="s">
        <v>232</v>
      </c>
      <c r="E62" s="9" t="s">
        <v>11</v>
      </c>
      <c r="F62" s="15" t="s">
        <v>11</v>
      </c>
      <c r="G62" s="7" t="s">
        <v>233</v>
      </c>
      <c r="H62" s="7" t="n">
        <v>0</v>
      </c>
      <c r="I62" s="7" t="s">
        <v>52</v>
      </c>
      <c r="J62" s="7" t="s">
        <v>234</v>
      </c>
      <c r="K62" s="3" t="s">
        <v>235</v>
      </c>
      <c r="L62" s="7" t="s">
        <v>236</v>
      </c>
      <c r="M62" s="7" t="s">
        <v>233</v>
      </c>
      <c r="N62" s="3" t="s">
        <v>55</v>
      </c>
      <c r="O62" s="7" t="s">
        <v>56</v>
      </c>
      <c r="P62" s="3" t="s">
        <v>237</v>
      </c>
      <c r="Q62" s="9" t="s">
        <v>11</v>
      </c>
      <c r="R62" s="4" t="s">
        <v>11</v>
      </c>
      <c r="S62" s="11"/>
      <c r="T62" s="12"/>
      <c r="U62" s="11"/>
      <c r="V62" s="11"/>
      <c r="W62" s="13" t="s">
        <v>238</v>
      </c>
      <c r="X62" s="13" t="n">
        <v>0</v>
      </c>
      <c r="Y62" s="13" t="s">
        <v>239</v>
      </c>
      <c r="Z62" s="13" t="s">
        <v>59</v>
      </c>
      <c r="AA62" s="5" t="s">
        <v>240</v>
      </c>
      <c r="AB62" s="5" t="s">
        <v>57</v>
      </c>
    </row>
    <row r="63" customFormat="false" ht="23.85" hidden="false" customHeight="false" outlineLevel="0" collapsed="false">
      <c r="A63" s="7" t="s">
        <v>241</v>
      </c>
      <c r="B63" s="7" t="s">
        <v>230</v>
      </c>
      <c r="C63" s="7" t="s">
        <v>231</v>
      </c>
      <c r="D63" s="7" t="s">
        <v>232</v>
      </c>
      <c r="E63" s="9" t="s">
        <v>11</v>
      </c>
      <c r="F63" s="15" t="s">
        <v>11</v>
      </c>
      <c r="G63" s="7" t="s">
        <v>233</v>
      </c>
      <c r="H63" s="7" t="n">
        <v>0</v>
      </c>
      <c r="I63" s="7" t="s">
        <v>52</v>
      </c>
      <c r="J63" s="7" t="s">
        <v>242</v>
      </c>
      <c r="K63" s="3" t="s">
        <v>235</v>
      </c>
      <c r="L63" s="7" t="s">
        <v>243</v>
      </c>
      <c r="M63" s="7" t="s">
        <v>233</v>
      </c>
      <c r="N63" s="3" t="s">
        <v>55</v>
      </c>
      <c r="O63" s="7" t="s">
        <v>56</v>
      </c>
      <c r="P63" s="3" t="s">
        <v>244</v>
      </c>
      <c r="Q63" s="9" t="s">
        <v>11</v>
      </c>
      <c r="R63" s="4" t="s">
        <v>11</v>
      </c>
      <c r="S63" s="11"/>
      <c r="T63" s="12" t="n">
        <v>1</v>
      </c>
      <c r="U63" s="11"/>
      <c r="V63" s="11"/>
      <c r="W63" s="13" t="s">
        <v>238</v>
      </c>
      <c r="X63" s="13" t="n">
        <v>1</v>
      </c>
      <c r="Y63" s="13" t="s">
        <v>245</v>
      </c>
      <c r="Z63" s="13" t="s">
        <v>59</v>
      </c>
      <c r="AA63" s="5" t="s">
        <v>246</v>
      </c>
      <c r="AB63" s="5" t="s">
        <v>57</v>
      </c>
    </row>
    <row r="64" customFormat="false" ht="23.85" hidden="false" customHeight="false" outlineLevel="0" collapsed="false">
      <c r="A64" s="7" t="s">
        <v>247</v>
      </c>
      <c r="B64" s="7" t="s">
        <v>230</v>
      </c>
      <c r="C64" s="7" t="s">
        <v>231</v>
      </c>
      <c r="D64" s="7" t="s">
        <v>232</v>
      </c>
      <c r="E64" s="9" t="s">
        <v>11</v>
      </c>
      <c r="F64" s="15" t="s">
        <v>11</v>
      </c>
      <c r="G64" s="7" t="s">
        <v>233</v>
      </c>
      <c r="H64" s="7" t="n">
        <v>0</v>
      </c>
      <c r="I64" s="7" t="s">
        <v>52</v>
      </c>
      <c r="J64" s="7" t="s">
        <v>248</v>
      </c>
      <c r="K64" s="3" t="s">
        <v>235</v>
      </c>
      <c r="L64" s="7" t="s">
        <v>236</v>
      </c>
      <c r="M64" s="7" t="s">
        <v>233</v>
      </c>
      <c r="N64" s="3" t="s">
        <v>55</v>
      </c>
      <c r="O64" s="7" t="s">
        <v>56</v>
      </c>
      <c r="P64" s="3" t="s">
        <v>244</v>
      </c>
      <c r="Q64" s="9" t="s">
        <v>11</v>
      </c>
      <c r="R64" s="4" t="s">
        <v>11</v>
      </c>
      <c r="S64" s="11"/>
      <c r="T64" s="12"/>
      <c r="U64" s="11"/>
      <c r="V64" s="11"/>
      <c r="W64" s="13" t="s">
        <v>238</v>
      </c>
      <c r="X64" s="13" t="n">
        <v>1</v>
      </c>
      <c r="Y64" s="13" t="s">
        <v>245</v>
      </c>
      <c r="Z64" s="13" t="s">
        <v>59</v>
      </c>
      <c r="AA64" s="5" t="s">
        <v>246</v>
      </c>
      <c r="AB64" s="5" t="s">
        <v>57</v>
      </c>
    </row>
    <row r="65" customFormat="false" ht="23.85" hidden="false" customHeight="false" outlineLevel="0" collapsed="false">
      <c r="A65" s="7" t="s">
        <v>249</v>
      </c>
      <c r="B65" s="7" t="s">
        <v>230</v>
      </c>
      <c r="C65" s="7" t="s">
        <v>231</v>
      </c>
      <c r="D65" s="7" t="s">
        <v>232</v>
      </c>
      <c r="E65" s="9" t="s">
        <v>11</v>
      </c>
      <c r="F65" s="15" t="s">
        <v>11</v>
      </c>
      <c r="G65" s="7" t="s">
        <v>233</v>
      </c>
      <c r="H65" s="7" t="n">
        <v>0</v>
      </c>
      <c r="I65" s="7" t="s">
        <v>52</v>
      </c>
      <c r="J65" s="7" t="s">
        <v>250</v>
      </c>
      <c r="K65" s="3" t="s">
        <v>235</v>
      </c>
      <c r="L65" s="7" t="s">
        <v>236</v>
      </c>
      <c r="M65" s="7" t="s">
        <v>233</v>
      </c>
      <c r="N65" s="3" t="s">
        <v>55</v>
      </c>
      <c r="O65" s="7" t="s">
        <v>56</v>
      </c>
      <c r="P65" s="3" t="s">
        <v>251</v>
      </c>
      <c r="Q65" s="9" t="s">
        <v>11</v>
      </c>
      <c r="R65" s="4" t="s">
        <v>11</v>
      </c>
      <c r="S65" s="11"/>
      <c r="T65" s="12"/>
      <c r="U65" s="11"/>
      <c r="V65" s="11"/>
      <c r="W65" s="13" t="s">
        <v>238</v>
      </c>
      <c r="X65" s="13" t="n">
        <v>0</v>
      </c>
      <c r="Y65" s="13" t="s">
        <v>252</v>
      </c>
      <c r="Z65" s="13" t="s">
        <v>59</v>
      </c>
      <c r="AA65" s="5" t="s">
        <v>240</v>
      </c>
      <c r="AB65" s="5" t="s">
        <v>57</v>
      </c>
    </row>
    <row r="66" customFormat="false" ht="23.85" hidden="false" customHeight="false" outlineLevel="0" collapsed="false">
      <c r="A66" s="7" t="s">
        <v>253</v>
      </c>
      <c r="B66" s="9" t="s">
        <v>11</v>
      </c>
      <c r="C66" s="9" t="s">
        <v>11</v>
      </c>
      <c r="D66" s="7" t="s">
        <v>254</v>
      </c>
      <c r="E66" s="9" t="s">
        <v>11</v>
      </c>
      <c r="F66" s="8" t="s">
        <v>233</v>
      </c>
      <c r="G66" s="7" t="s">
        <v>233</v>
      </c>
      <c r="H66" s="7" t="n">
        <v>0</v>
      </c>
      <c r="I66" s="7" t="s">
        <v>52</v>
      </c>
      <c r="J66" s="7" t="s">
        <v>53</v>
      </c>
      <c r="K66" s="3" t="s">
        <v>54</v>
      </c>
      <c r="L66" s="7" t="s">
        <v>233</v>
      </c>
      <c r="M66" s="7" t="s">
        <v>233</v>
      </c>
      <c r="N66" s="3" t="s">
        <v>55</v>
      </c>
      <c r="O66" s="7" t="s">
        <v>56</v>
      </c>
      <c r="P66" s="3" t="s">
        <v>57</v>
      </c>
      <c r="Q66" s="9" t="s">
        <v>11</v>
      </c>
      <c r="R66" s="4" t="s">
        <v>11</v>
      </c>
      <c r="S66" s="11"/>
      <c r="T66" s="12"/>
      <c r="U66" s="11"/>
      <c r="V66" s="11"/>
      <c r="W66" s="13" t="s">
        <v>57</v>
      </c>
      <c r="X66" s="13" t="n">
        <v>23</v>
      </c>
      <c r="Y66" s="13" t="s">
        <v>255</v>
      </c>
      <c r="Z66" s="13" t="s">
        <v>59</v>
      </c>
      <c r="AA66" s="5" t="s">
        <v>256</v>
      </c>
      <c r="AB66" s="5" t="s">
        <v>57</v>
      </c>
    </row>
    <row r="67" customFormat="false" ht="23.85" hidden="false" customHeight="false" outlineLevel="0" collapsed="false">
      <c r="A67" s="7" t="s">
        <v>257</v>
      </c>
      <c r="B67" s="9" t="s">
        <v>11</v>
      </c>
      <c r="C67" s="9" t="s">
        <v>11</v>
      </c>
      <c r="D67" s="7" t="s">
        <v>254</v>
      </c>
      <c r="E67" s="9" t="s">
        <v>11</v>
      </c>
      <c r="F67" s="8" t="s">
        <v>233</v>
      </c>
      <c r="G67" s="7" t="s">
        <v>233</v>
      </c>
      <c r="H67" s="7" t="n">
        <v>0</v>
      </c>
      <c r="I67" s="7" t="s">
        <v>52</v>
      </c>
      <c r="J67" s="7" t="s">
        <v>53</v>
      </c>
      <c r="K67" s="3" t="s">
        <v>204</v>
      </c>
      <c r="L67" s="7" t="s">
        <v>233</v>
      </c>
      <c r="M67" s="7" t="s">
        <v>233</v>
      </c>
      <c r="N67" s="3" t="s">
        <v>55</v>
      </c>
      <c r="O67" s="7" t="s">
        <v>56</v>
      </c>
      <c r="P67" s="3" t="s">
        <v>57</v>
      </c>
      <c r="Q67" s="9" t="s">
        <v>11</v>
      </c>
      <c r="R67" s="4" t="s">
        <v>11</v>
      </c>
      <c r="S67" s="11"/>
      <c r="T67" s="12"/>
      <c r="U67" s="11"/>
      <c r="V67" s="11"/>
      <c r="W67" s="13" t="s">
        <v>57</v>
      </c>
      <c r="X67" s="13" t="n">
        <v>0</v>
      </c>
      <c r="Y67" s="13" t="s">
        <v>258</v>
      </c>
      <c r="Z67" s="13" t="s">
        <v>59</v>
      </c>
      <c r="AA67" s="5" t="s">
        <v>57</v>
      </c>
      <c r="AB67" s="5" t="s">
        <v>57</v>
      </c>
    </row>
    <row r="68" customFormat="false" ht="23.85" hidden="false" customHeight="false" outlineLevel="0" collapsed="false">
      <c r="A68" s="7" t="s">
        <v>259</v>
      </c>
      <c r="B68" s="9" t="s">
        <v>11</v>
      </c>
      <c r="C68" s="9" t="s">
        <v>11</v>
      </c>
      <c r="D68" s="7" t="s">
        <v>254</v>
      </c>
      <c r="E68" s="9" t="s">
        <v>11</v>
      </c>
      <c r="F68" s="8" t="s">
        <v>233</v>
      </c>
      <c r="G68" s="7" t="s">
        <v>233</v>
      </c>
      <c r="H68" s="7" t="n">
        <v>0</v>
      </c>
      <c r="I68" s="7" t="s">
        <v>52</v>
      </c>
      <c r="J68" s="7" t="s">
        <v>53</v>
      </c>
      <c r="K68" s="3" t="s">
        <v>54</v>
      </c>
      <c r="L68" s="7" t="s">
        <v>233</v>
      </c>
      <c r="M68" s="7" t="s">
        <v>233</v>
      </c>
      <c r="N68" s="3" t="s">
        <v>55</v>
      </c>
      <c r="O68" s="7" t="s">
        <v>56</v>
      </c>
      <c r="P68" s="3" t="s">
        <v>57</v>
      </c>
      <c r="Q68" s="9" t="s">
        <v>11</v>
      </c>
      <c r="R68" s="4" t="s">
        <v>11</v>
      </c>
      <c r="S68" s="11"/>
      <c r="T68" s="12"/>
      <c r="U68" s="11"/>
      <c r="V68" s="11"/>
      <c r="W68" s="13" t="s">
        <v>57</v>
      </c>
      <c r="X68" s="13" t="n">
        <v>23</v>
      </c>
      <c r="Y68" s="13" t="s">
        <v>255</v>
      </c>
      <c r="Z68" s="13" t="s">
        <v>59</v>
      </c>
      <c r="AA68" s="5" t="s">
        <v>256</v>
      </c>
      <c r="AB68" s="5" t="s">
        <v>57</v>
      </c>
    </row>
    <row r="69" customFormat="false" ht="23.85" hidden="false" customHeight="false" outlineLevel="0" collapsed="false">
      <c r="A69" s="7" t="s">
        <v>260</v>
      </c>
      <c r="B69" s="9" t="s">
        <v>11</v>
      </c>
      <c r="C69" s="9" t="s">
        <v>11</v>
      </c>
      <c r="D69" s="7" t="s">
        <v>254</v>
      </c>
      <c r="E69" s="9" t="s">
        <v>11</v>
      </c>
      <c r="F69" s="8" t="s">
        <v>233</v>
      </c>
      <c r="G69" s="7" t="s">
        <v>233</v>
      </c>
      <c r="H69" s="7" t="n">
        <v>0</v>
      </c>
      <c r="I69" s="7" t="s">
        <v>52</v>
      </c>
      <c r="J69" s="7" t="s">
        <v>53</v>
      </c>
      <c r="K69" s="3" t="s">
        <v>54</v>
      </c>
      <c r="L69" s="7" t="s">
        <v>233</v>
      </c>
      <c r="M69" s="7" t="s">
        <v>233</v>
      </c>
      <c r="N69" s="3" t="s">
        <v>55</v>
      </c>
      <c r="O69" s="7" t="s">
        <v>56</v>
      </c>
      <c r="P69" s="3" t="s">
        <v>57</v>
      </c>
      <c r="Q69" s="9" t="s">
        <v>11</v>
      </c>
      <c r="R69" s="4" t="s">
        <v>11</v>
      </c>
      <c r="S69" s="11"/>
      <c r="T69" s="12"/>
      <c r="U69" s="11"/>
      <c r="V69" s="11"/>
      <c r="W69" s="13" t="s">
        <v>57</v>
      </c>
      <c r="X69" s="13" t="n">
        <v>23</v>
      </c>
      <c r="Y69" s="13" t="s">
        <v>255</v>
      </c>
      <c r="Z69" s="13" t="s">
        <v>59</v>
      </c>
      <c r="AA69" s="5" t="s">
        <v>261</v>
      </c>
      <c r="AB69" s="5" t="s">
        <v>57</v>
      </c>
    </row>
    <row r="70" customFormat="false" ht="23.85" hidden="false" customHeight="false" outlineLevel="0" collapsed="false">
      <c r="A70" s="7" t="s">
        <v>262</v>
      </c>
      <c r="B70" s="9" t="s">
        <v>11</v>
      </c>
      <c r="C70" s="9" t="s">
        <v>11</v>
      </c>
      <c r="D70" s="7" t="s">
        <v>254</v>
      </c>
      <c r="E70" s="9" t="s">
        <v>11</v>
      </c>
      <c r="F70" s="8" t="s">
        <v>233</v>
      </c>
      <c r="G70" s="7" t="s">
        <v>233</v>
      </c>
      <c r="H70" s="7" t="n">
        <v>0</v>
      </c>
      <c r="I70" s="7" t="s">
        <v>52</v>
      </c>
      <c r="J70" s="7" t="s">
        <v>53</v>
      </c>
      <c r="K70" s="3" t="s">
        <v>54</v>
      </c>
      <c r="L70" s="7" t="s">
        <v>233</v>
      </c>
      <c r="M70" s="7" t="s">
        <v>233</v>
      </c>
      <c r="N70" s="3" t="s">
        <v>55</v>
      </c>
      <c r="O70" s="7" t="s">
        <v>56</v>
      </c>
      <c r="P70" s="3" t="s">
        <v>263</v>
      </c>
      <c r="Q70" s="9" t="s">
        <v>11</v>
      </c>
      <c r="R70" s="4" t="s">
        <v>11</v>
      </c>
      <c r="S70" s="11"/>
      <c r="T70" s="12"/>
      <c r="U70" s="11"/>
      <c r="V70" s="11"/>
      <c r="W70" s="13" t="s">
        <v>57</v>
      </c>
      <c r="X70" s="13" t="n">
        <v>0</v>
      </c>
      <c r="Y70" s="13" t="s">
        <v>264</v>
      </c>
      <c r="Z70" s="13" t="s">
        <v>59</v>
      </c>
      <c r="AA70" s="5" t="s">
        <v>57</v>
      </c>
      <c r="AB70" s="5" t="s">
        <v>57</v>
      </c>
    </row>
    <row r="71" customFormat="false" ht="23.85" hidden="false" customHeight="false" outlineLevel="0" collapsed="false">
      <c r="A71" s="7" t="s">
        <v>265</v>
      </c>
      <c r="B71" s="9" t="s">
        <v>11</v>
      </c>
      <c r="C71" s="9" t="s">
        <v>11</v>
      </c>
      <c r="D71" s="7" t="s">
        <v>254</v>
      </c>
      <c r="E71" s="9" t="s">
        <v>11</v>
      </c>
      <c r="F71" s="8" t="s">
        <v>233</v>
      </c>
      <c r="G71" s="7" t="s">
        <v>233</v>
      </c>
      <c r="H71" s="7" t="n">
        <v>0</v>
      </c>
      <c r="I71" s="7" t="s">
        <v>52</v>
      </c>
      <c r="J71" s="7" t="s">
        <v>53</v>
      </c>
      <c r="K71" s="3" t="s">
        <v>54</v>
      </c>
      <c r="L71" s="7" t="s">
        <v>233</v>
      </c>
      <c r="M71" s="7" t="s">
        <v>233</v>
      </c>
      <c r="N71" s="3" t="s">
        <v>55</v>
      </c>
      <c r="O71" s="7" t="s">
        <v>56</v>
      </c>
      <c r="P71" s="3" t="s">
        <v>57</v>
      </c>
      <c r="Q71" s="9" t="s">
        <v>11</v>
      </c>
      <c r="R71" s="4" t="s">
        <v>11</v>
      </c>
      <c r="S71" s="11"/>
      <c r="T71" s="12"/>
      <c r="U71" s="11"/>
      <c r="V71" s="11"/>
      <c r="W71" s="13" t="s">
        <v>57</v>
      </c>
      <c r="X71" s="13" t="n">
        <v>23</v>
      </c>
      <c r="Y71" s="13" t="s">
        <v>255</v>
      </c>
      <c r="Z71" s="13" t="s">
        <v>59</v>
      </c>
      <c r="AA71" s="5" t="s">
        <v>256</v>
      </c>
      <c r="AB71" s="5" t="s">
        <v>57</v>
      </c>
    </row>
    <row r="72" customFormat="false" ht="23.85" hidden="false" customHeight="false" outlineLevel="0" collapsed="false">
      <c r="A72" s="7" t="s">
        <v>266</v>
      </c>
      <c r="B72" s="9" t="s">
        <v>11</v>
      </c>
      <c r="C72" s="9" t="s">
        <v>11</v>
      </c>
      <c r="D72" s="7" t="s">
        <v>254</v>
      </c>
      <c r="E72" s="9" t="s">
        <v>11</v>
      </c>
      <c r="F72" s="8" t="s">
        <v>233</v>
      </c>
      <c r="G72" s="7" t="s">
        <v>233</v>
      </c>
      <c r="H72" s="7" t="n">
        <v>0</v>
      </c>
      <c r="I72" s="7" t="s">
        <v>52</v>
      </c>
      <c r="J72" s="7" t="s">
        <v>53</v>
      </c>
      <c r="K72" s="3" t="s">
        <v>54</v>
      </c>
      <c r="L72" s="7" t="s">
        <v>233</v>
      </c>
      <c r="M72" s="7" t="s">
        <v>233</v>
      </c>
      <c r="N72" s="3" t="s">
        <v>55</v>
      </c>
      <c r="O72" s="7" t="s">
        <v>56</v>
      </c>
      <c r="P72" s="3" t="s">
        <v>267</v>
      </c>
      <c r="Q72" s="9" t="s">
        <v>11</v>
      </c>
      <c r="R72" s="4" t="s">
        <v>11</v>
      </c>
      <c r="S72" s="11"/>
      <c r="T72" s="12"/>
      <c r="U72" s="11"/>
      <c r="V72" s="11"/>
      <c r="W72" s="13" t="s">
        <v>57</v>
      </c>
      <c r="X72" s="13" t="n">
        <v>1</v>
      </c>
      <c r="Y72" s="13" t="s">
        <v>268</v>
      </c>
      <c r="Z72" s="13" t="s">
        <v>59</v>
      </c>
      <c r="AA72" s="5" t="s">
        <v>269</v>
      </c>
      <c r="AB72" s="5" t="s">
        <v>57</v>
      </c>
    </row>
    <row r="73" customFormat="false" ht="23.85" hidden="false" customHeight="false" outlineLevel="0" collapsed="false">
      <c r="A73" s="7" t="s">
        <v>270</v>
      </c>
      <c r="B73" s="9" t="s">
        <v>11</v>
      </c>
      <c r="C73" s="9" t="s">
        <v>11</v>
      </c>
      <c r="D73" s="7" t="s">
        <v>254</v>
      </c>
      <c r="E73" s="9" t="s">
        <v>11</v>
      </c>
      <c r="F73" s="8" t="s">
        <v>233</v>
      </c>
      <c r="G73" s="7" t="s">
        <v>233</v>
      </c>
      <c r="H73" s="7" t="n">
        <v>0</v>
      </c>
      <c r="I73" s="7" t="s">
        <v>52</v>
      </c>
      <c r="J73" s="7" t="s">
        <v>53</v>
      </c>
      <c r="K73" s="3" t="s">
        <v>54</v>
      </c>
      <c r="L73" s="7" t="s">
        <v>233</v>
      </c>
      <c r="M73" s="7" t="s">
        <v>233</v>
      </c>
      <c r="N73" s="3" t="s">
        <v>55</v>
      </c>
      <c r="O73" s="7" t="s">
        <v>56</v>
      </c>
      <c r="P73" s="3" t="s">
        <v>57</v>
      </c>
      <c r="Q73" s="9" t="s">
        <v>11</v>
      </c>
      <c r="R73" s="4" t="s">
        <v>11</v>
      </c>
      <c r="S73" s="11"/>
      <c r="T73" s="12"/>
      <c r="U73" s="11"/>
      <c r="V73" s="11"/>
      <c r="W73" s="13" t="s">
        <v>57</v>
      </c>
      <c r="X73" s="13" t="n">
        <v>23</v>
      </c>
      <c r="Y73" s="13" t="s">
        <v>255</v>
      </c>
      <c r="Z73" s="13" t="s">
        <v>59</v>
      </c>
      <c r="AA73" s="5" t="s">
        <v>256</v>
      </c>
      <c r="AB73" s="5" t="s">
        <v>57</v>
      </c>
    </row>
    <row r="74" customFormat="false" ht="23.85" hidden="false" customHeight="false" outlineLevel="0" collapsed="false">
      <c r="A74" s="7" t="s">
        <v>271</v>
      </c>
      <c r="B74" s="9" t="s">
        <v>11</v>
      </c>
      <c r="C74" s="9" t="s">
        <v>11</v>
      </c>
      <c r="D74" s="7" t="s">
        <v>254</v>
      </c>
      <c r="E74" s="9" t="s">
        <v>11</v>
      </c>
      <c r="F74" s="8" t="s">
        <v>233</v>
      </c>
      <c r="G74" s="7" t="s">
        <v>233</v>
      </c>
      <c r="H74" s="7" t="n">
        <v>0</v>
      </c>
      <c r="I74" s="7" t="s">
        <v>52</v>
      </c>
      <c r="J74" s="7" t="s">
        <v>53</v>
      </c>
      <c r="K74" s="3" t="s">
        <v>54</v>
      </c>
      <c r="L74" s="7" t="s">
        <v>233</v>
      </c>
      <c r="M74" s="7" t="s">
        <v>233</v>
      </c>
      <c r="N74" s="3" t="s">
        <v>55</v>
      </c>
      <c r="O74" s="7" t="s">
        <v>56</v>
      </c>
      <c r="P74" s="3" t="s">
        <v>57</v>
      </c>
      <c r="Q74" s="9" t="s">
        <v>11</v>
      </c>
      <c r="R74" s="4" t="s">
        <v>11</v>
      </c>
      <c r="S74" s="11"/>
      <c r="T74" s="12"/>
      <c r="U74" s="11"/>
      <c r="V74" s="11"/>
      <c r="W74" s="13" t="s">
        <v>57</v>
      </c>
      <c r="X74" s="13" t="n">
        <v>23</v>
      </c>
      <c r="Y74" s="13" t="s">
        <v>255</v>
      </c>
      <c r="Z74" s="13" t="s">
        <v>59</v>
      </c>
      <c r="AA74" s="5" t="s">
        <v>261</v>
      </c>
      <c r="AB74" s="5" t="s">
        <v>57</v>
      </c>
    </row>
    <row r="75" customFormat="false" ht="23.85" hidden="false" customHeight="false" outlineLevel="0" collapsed="false">
      <c r="A75" s="7" t="s">
        <v>272</v>
      </c>
      <c r="B75" s="9" t="s">
        <v>11</v>
      </c>
      <c r="C75" s="9" t="s">
        <v>11</v>
      </c>
      <c r="D75" s="7" t="s">
        <v>254</v>
      </c>
      <c r="E75" s="9" t="s">
        <v>11</v>
      </c>
      <c r="F75" s="8" t="s">
        <v>233</v>
      </c>
      <c r="G75" s="7" t="s">
        <v>233</v>
      </c>
      <c r="H75" s="7" t="n">
        <v>0</v>
      </c>
      <c r="I75" s="7" t="s">
        <v>52</v>
      </c>
      <c r="J75" s="7" t="s">
        <v>53</v>
      </c>
      <c r="K75" s="3" t="s">
        <v>204</v>
      </c>
      <c r="L75" s="7" t="s">
        <v>233</v>
      </c>
      <c r="M75" s="7" t="s">
        <v>233</v>
      </c>
      <c r="N75" s="3" t="s">
        <v>55</v>
      </c>
      <c r="O75" s="7" t="s">
        <v>56</v>
      </c>
      <c r="P75" s="3" t="s">
        <v>57</v>
      </c>
      <c r="Q75" s="9" t="s">
        <v>11</v>
      </c>
      <c r="R75" s="4" t="s">
        <v>11</v>
      </c>
      <c r="S75" s="11"/>
      <c r="T75" s="12"/>
      <c r="U75" s="11"/>
      <c r="V75" s="11"/>
      <c r="W75" s="13" t="s">
        <v>57</v>
      </c>
      <c r="X75" s="13" t="n">
        <v>0</v>
      </c>
      <c r="Y75" s="13" t="s">
        <v>273</v>
      </c>
      <c r="Z75" s="13" t="s">
        <v>59</v>
      </c>
      <c r="AA75" s="5" t="s">
        <v>57</v>
      </c>
      <c r="AB75" s="5" t="s">
        <v>57</v>
      </c>
    </row>
    <row r="76" customFormat="false" ht="23.85" hidden="false" customHeight="false" outlineLevel="0" collapsed="false">
      <c r="A76" s="7" t="s">
        <v>274</v>
      </c>
      <c r="B76" s="9" t="s">
        <v>11</v>
      </c>
      <c r="C76" s="9" t="s">
        <v>11</v>
      </c>
      <c r="D76" s="7" t="s">
        <v>254</v>
      </c>
      <c r="E76" s="9" t="s">
        <v>11</v>
      </c>
      <c r="F76" s="8" t="s">
        <v>233</v>
      </c>
      <c r="G76" s="7" t="s">
        <v>233</v>
      </c>
      <c r="H76" s="7" t="n">
        <v>0</v>
      </c>
      <c r="I76" s="7" t="s">
        <v>52</v>
      </c>
      <c r="J76" s="7" t="s">
        <v>53</v>
      </c>
      <c r="K76" s="3" t="s">
        <v>54</v>
      </c>
      <c r="L76" s="7" t="s">
        <v>233</v>
      </c>
      <c r="M76" s="7" t="s">
        <v>233</v>
      </c>
      <c r="N76" s="3" t="s">
        <v>55</v>
      </c>
      <c r="O76" s="7" t="s">
        <v>56</v>
      </c>
      <c r="P76" s="3" t="s">
        <v>57</v>
      </c>
      <c r="Q76" s="9" t="s">
        <v>11</v>
      </c>
      <c r="R76" s="4" t="s">
        <v>11</v>
      </c>
      <c r="S76" s="11"/>
      <c r="T76" s="12"/>
      <c r="U76" s="11"/>
      <c r="V76" s="11"/>
      <c r="W76" s="13" t="s">
        <v>57</v>
      </c>
      <c r="X76" s="13" t="n">
        <v>23</v>
      </c>
      <c r="Y76" s="13" t="s">
        <v>255</v>
      </c>
      <c r="Z76" s="13" t="s">
        <v>59</v>
      </c>
      <c r="AA76" s="5" t="s">
        <v>256</v>
      </c>
      <c r="AB76" s="5" t="s">
        <v>57</v>
      </c>
    </row>
    <row r="77" customFormat="false" ht="23.85" hidden="false" customHeight="false" outlineLevel="0" collapsed="false">
      <c r="A77" s="7" t="s">
        <v>275</v>
      </c>
      <c r="B77" s="9" t="s">
        <v>11</v>
      </c>
      <c r="C77" s="9" t="s">
        <v>11</v>
      </c>
      <c r="D77" s="7" t="s">
        <v>254</v>
      </c>
      <c r="E77" s="9" t="s">
        <v>11</v>
      </c>
      <c r="F77" s="8" t="s">
        <v>233</v>
      </c>
      <c r="G77" s="7" t="s">
        <v>233</v>
      </c>
      <c r="H77" s="7" t="n">
        <v>0</v>
      </c>
      <c r="I77" s="7" t="s">
        <v>52</v>
      </c>
      <c r="J77" s="7" t="s">
        <v>53</v>
      </c>
      <c r="K77" s="3" t="s">
        <v>54</v>
      </c>
      <c r="L77" s="7" t="s">
        <v>233</v>
      </c>
      <c r="M77" s="7" t="s">
        <v>233</v>
      </c>
      <c r="N77" s="3" t="s">
        <v>55</v>
      </c>
      <c r="O77" s="7" t="s">
        <v>56</v>
      </c>
      <c r="P77" s="3" t="s">
        <v>57</v>
      </c>
      <c r="Q77" s="9" t="s">
        <v>11</v>
      </c>
      <c r="R77" s="4" t="s">
        <v>11</v>
      </c>
      <c r="S77" s="11"/>
      <c r="T77" s="12"/>
      <c r="U77" s="11"/>
      <c r="V77" s="11"/>
      <c r="W77" s="13" t="s">
        <v>57</v>
      </c>
      <c r="X77" s="13" t="n">
        <v>23</v>
      </c>
      <c r="Y77" s="13" t="s">
        <v>255</v>
      </c>
      <c r="Z77" s="13" t="s">
        <v>59</v>
      </c>
      <c r="AA77" s="5" t="s">
        <v>261</v>
      </c>
      <c r="AB77" s="5" t="s">
        <v>57</v>
      </c>
    </row>
    <row r="78" customFormat="false" ht="23.85" hidden="false" customHeight="false" outlineLevel="0" collapsed="false">
      <c r="A78" s="7" t="s">
        <v>276</v>
      </c>
      <c r="B78" s="9" t="s">
        <v>11</v>
      </c>
      <c r="C78" s="9" t="s">
        <v>11</v>
      </c>
      <c r="D78" s="7" t="s">
        <v>254</v>
      </c>
      <c r="E78" s="9" t="s">
        <v>11</v>
      </c>
      <c r="F78" s="8" t="s">
        <v>233</v>
      </c>
      <c r="G78" s="7" t="s">
        <v>233</v>
      </c>
      <c r="H78" s="7" t="n">
        <v>0</v>
      </c>
      <c r="I78" s="7" t="s">
        <v>52</v>
      </c>
      <c r="J78" s="7" t="s">
        <v>53</v>
      </c>
      <c r="K78" s="3" t="s">
        <v>54</v>
      </c>
      <c r="L78" s="7" t="s">
        <v>233</v>
      </c>
      <c r="M78" s="7" t="s">
        <v>233</v>
      </c>
      <c r="N78" s="3" t="s">
        <v>55</v>
      </c>
      <c r="O78" s="7" t="s">
        <v>56</v>
      </c>
      <c r="P78" s="3" t="s">
        <v>57</v>
      </c>
      <c r="Q78" s="9" t="s">
        <v>11</v>
      </c>
      <c r="R78" s="4" t="s">
        <v>11</v>
      </c>
      <c r="S78" s="11"/>
      <c r="T78" s="12"/>
      <c r="U78" s="11"/>
      <c r="V78" s="11"/>
      <c r="W78" s="13" t="s">
        <v>57</v>
      </c>
      <c r="X78" s="13" t="n">
        <v>23</v>
      </c>
      <c r="Y78" s="13" t="s">
        <v>255</v>
      </c>
      <c r="Z78" s="13" t="s">
        <v>59</v>
      </c>
      <c r="AA78" s="5" t="s">
        <v>261</v>
      </c>
      <c r="AB78" s="5" t="s">
        <v>57</v>
      </c>
    </row>
    <row r="79" customFormat="false" ht="23.85" hidden="false" customHeight="false" outlineLevel="0" collapsed="false">
      <c r="A79" s="7" t="s">
        <v>277</v>
      </c>
      <c r="B79" s="9" t="s">
        <v>11</v>
      </c>
      <c r="C79" s="9" t="s">
        <v>11</v>
      </c>
      <c r="D79" s="7" t="s">
        <v>254</v>
      </c>
      <c r="E79" s="9" t="s">
        <v>11</v>
      </c>
      <c r="F79" s="8" t="s">
        <v>233</v>
      </c>
      <c r="G79" s="7" t="s">
        <v>233</v>
      </c>
      <c r="H79" s="7" t="n">
        <v>0</v>
      </c>
      <c r="I79" s="7" t="s">
        <v>52</v>
      </c>
      <c r="J79" s="7" t="s">
        <v>53</v>
      </c>
      <c r="K79" s="3" t="s">
        <v>54</v>
      </c>
      <c r="L79" s="7" t="s">
        <v>233</v>
      </c>
      <c r="M79" s="7" t="s">
        <v>233</v>
      </c>
      <c r="N79" s="3" t="s">
        <v>55</v>
      </c>
      <c r="O79" s="7" t="s">
        <v>56</v>
      </c>
      <c r="P79" s="3" t="s">
        <v>57</v>
      </c>
      <c r="Q79" s="9" t="s">
        <v>11</v>
      </c>
      <c r="R79" s="4" t="s">
        <v>11</v>
      </c>
      <c r="S79" s="11"/>
      <c r="T79" s="12"/>
      <c r="U79" s="11"/>
      <c r="V79" s="11"/>
      <c r="W79" s="13" t="s">
        <v>57</v>
      </c>
      <c r="X79" s="13" t="n">
        <v>23</v>
      </c>
      <c r="Y79" s="13" t="s">
        <v>255</v>
      </c>
      <c r="Z79" s="13" t="s">
        <v>59</v>
      </c>
      <c r="AA79" s="5" t="s">
        <v>261</v>
      </c>
      <c r="AB79" s="5" t="s">
        <v>57</v>
      </c>
    </row>
    <row r="80" customFormat="false" ht="23.85" hidden="false" customHeight="false" outlineLevel="0" collapsed="false">
      <c r="A80" s="7" t="s">
        <v>278</v>
      </c>
      <c r="B80" s="9" t="s">
        <v>11</v>
      </c>
      <c r="C80" s="9" t="s">
        <v>11</v>
      </c>
      <c r="D80" s="7" t="s">
        <v>254</v>
      </c>
      <c r="E80" s="9" t="s">
        <v>11</v>
      </c>
      <c r="F80" s="8" t="s">
        <v>233</v>
      </c>
      <c r="G80" s="7" t="s">
        <v>233</v>
      </c>
      <c r="H80" s="7" t="n">
        <v>0</v>
      </c>
      <c r="I80" s="7" t="s">
        <v>52</v>
      </c>
      <c r="J80" s="7" t="s">
        <v>53</v>
      </c>
      <c r="K80" s="3" t="s">
        <v>54</v>
      </c>
      <c r="L80" s="7" t="s">
        <v>233</v>
      </c>
      <c r="M80" s="7" t="s">
        <v>233</v>
      </c>
      <c r="N80" s="3" t="s">
        <v>55</v>
      </c>
      <c r="O80" s="7" t="s">
        <v>56</v>
      </c>
      <c r="P80" s="3" t="s">
        <v>57</v>
      </c>
      <c r="Q80" s="9" t="s">
        <v>11</v>
      </c>
      <c r="R80" s="4" t="s">
        <v>11</v>
      </c>
      <c r="S80" s="11"/>
      <c r="T80" s="12"/>
      <c r="U80" s="11"/>
      <c r="V80" s="11"/>
      <c r="W80" s="13" t="s">
        <v>57</v>
      </c>
      <c r="X80" s="13" t="n">
        <v>23</v>
      </c>
      <c r="Y80" s="13" t="s">
        <v>255</v>
      </c>
      <c r="Z80" s="13" t="s">
        <v>59</v>
      </c>
      <c r="AA80" s="5" t="s">
        <v>256</v>
      </c>
      <c r="AB80" s="5" t="s">
        <v>57</v>
      </c>
    </row>
    <row r="81" customFormat="false" ht="23.85" hidden="false" customHeight="false" outlineLevel="0" collapsed="false">
      <c r="A81" s="7" t="s">
        <v>279</v>
      </c>
      <c r="B81" s="9" t="s">
        <v>11</v>
      </c>
      <c r="C81" s="9" t="s">
        <v>11</v>
      </c>
      <c r="D81" s="7" t="s">
        <v>254</v>
      </c>
      <c r="E81" s="9" t="s">
        <v>11</v>
      </c>
      <c r="F81" s="8" t="s">
        <v>233</v>
      </c>
      <c r="G81" s="7" t="s">
        <v>233</v>
      </c>
      <c r="H81" s="7" t="n">
        <v>0</v>
      </c>
      <c r="I81" s="7" t="s">
        <v>52</v>
      </c>
      <c r="J81" s="7" t="s">
        <v>53</v>
      </c>
      <c r="K81" s="3" t="s">
        <v>54</v>
      </c>
      <c r="L81" s="7" t="s">
        <v>233</v>
      </c>
      <c r="M81" s="7" t="s">
        <v>233</v>
      </c>
      <c r="N81" s="3" t="s">
        <v>55</v>
      </c>
      <c r="O81" s="7" t="s">
        <v>56</v>
      </c>
      <c r="P81" s="3" t="s">
        <v>57</v>
      </c>
      <c r="Q81" s="9" t="s">
        <v>11</v>
      </c>
      <c r="R81" s="4" t="s">
        <v>11</v>
      </c>
      <c r="S81" s="11"/>
      <c r="T81" s="12"/>
      <c r="U81" s="11"/>
      <c r="V81" s="11"/>
      <c r="W81" s="13" t="s">
        <v>57</v>
      </c>
      <c r="X81" s="13" t="n">
        <v>23</v>
      </c>
      <c r="Y81" s="13" t="s">
        <v>255</v>
      </c>
      <c r="Z81" s="13" t="s">
        <v>59</v>
      </c>
      <c r="AA81" s="5" t="s">
        <v>261</v>
      </c>
      <c r="AB81" s="5" t="s">
        <v>57</v>
      </c>
    </row>
    <row r="82" customFormat="false" ht="23.85" hidden="false" customHeight="false" outlineLevel="0" collapsed="false">
      <c r="A82" s="7" t="s">
        <v>280</v>
      </c>
      <c r="B82" s="9" t="s">
        <v>11</v>
      </c>
      <c r="C82" s="9" t="s">
        <v>11</v>
      </c>
      <c r="D82" s="7" t="s">
        <v>254</v>
      </c>
      <c r="E82" s="9" t="s">
        <v>11</v>
      </c>
      <c r="F82" s="8" t="s">
        <v>233</v>
      </c>
      <c r="G82" s="7" t="s">
        <v>233</v>
      </c>
      <c r="H82" s="7" t="n">
        <v>0</v>
      </c>
      <c r="I82" s="7" t="s">
        <v>52</v>
      </c>
      <c r="J82" s="7" t="s">
        <v>53</v>
      </c>
      <c r="K82" s="3" t="s">
        <v>54</v>
      </c>
      <c r="L82" s="7" t="s">
        <v>233</v>
      </c>
      <c r="M82" s="7" t="s">
        <v>233</v>
      </c>
      <c r="N82" s="3" t="s">
        <v>55</v>
      </c>
      <c r="O82" s="7" t="s">
        <v>56</v>
      </c>
      <c r="P82" s="3" t="s">
        <v>57</v>
      </c>
      <c r="Q82" s="9" t="s">
        <v>11</v>
      </c>
      <c r="R82" s="4" t="s">
        <v>11</v>
      </c>
      <c r="S82" s="11"/>
      <c r="T82" s="12"/>
      <c r="U82" s="11"/>
      <c r="V82" s="11"/>
      <c r="W82" s="13" t="s">
        <v>57</v>
      </c>
      <c r="X82" s="13" t="n">
        <v>23</v>
      </c>
      <c r="Y82" s="13" t="s">
        <v>255</v>
      </c>
      <c r="Z82" s="13" t="s">
        <v>59</v>
      </c>
      <c r="AA82" s="5" t="s">
        <v>261</v>
      </c>
      <c r="AB82" s="5" t="s">
        <v>57</v>
      </c>
    </row>
    <row r="83" customFormat="false" ht="23.85" hidden="false" customHeight="false" outlineLevel="0" collapsed="false">
      <c r="A83" s="7" t="s">
        <v>281</v>
      </c>
      <c r="B83" s="9" t="s">
        <v>11</v>
      </c>
      <c r="C83" s="9" t="s">
        <v>11</v>
      </c>
      <c r="D83" s="7" t="s">
        <v>254</v>
      </c>
      <c r="E83" s="9" t="s">
        <v>11</v>
      </c>
      <c r="F83" s="8" t="s">
        <v>233</v>
      </c>
      <c r="G83" s="7" t="s">
        <v>233</v>
      </c>
      <c r="H83" s="7" t="n">
        <v>0</v>
      </c>
      <c r="I83" s="7" t="s">
        <v>52</v>
      </c>
      <c r="J83" s="7" t="s">
        <v>53</v>
      </c>
      <c r="K83" s="3" t="s">
        <v>54</v>
      </c>
      <c r="L83" s="7" t="s">
        <v>233</v>
      </c>
      <c r="M83" s="7" t="s">
        <v>233</v>
      </c>
      <c r="N83" s="3" t="s">
        <v>55</v>
      </c>
      <c r="O83" s="7" t="s">
        <v>56</v>
      </c>
      <c r="P83" s="3" t="s">
        <v>57</v>
      </c>
      <c r="Q83" s="9" t="s">
        <v>11</v>
      </c>
      <c r="R83" s="4" t="s">
        <v>11</v>
      </c>
      <c r="S83" s="11"/>
      <c r="T83" s="12"/>
      <c r="U83" s="11"/>
      <c r="V83" s="11"/>
      <c r="W83" s="13" t="s">
        <v>57</v>
      </c>
      <c r="X83" s="13" t="n">
        <v>23</v>
      </c>
      <c r="Y83" s="13" t="s">
        <v>255</v>
      </c>
      <c r="Z83" s="13" t="s">
        <v>59</v>
      </c>
      <c r="AA83" s="5" t="s">
        <v>256</v>
      </c>
      <c r="AB83" s="5" t="s">
        <v>57</v>
      </c>
    </row>
    <row r="84" customFormat="false" ht="23.85" hidden="false" customHeight="false" outlineLevel="0" collapsed="false">
      <c r="A84" s="7" t="s">
        <v>282</v>
      </c>
      <c r="B84" s="9" t="s">
        <v>11</v>
      </c>
      <c r="C84" s="9" t="s">
        <v>11</v>
      </c>
      <c r="D84" s="7" t="s">
        <v>254</v>
      </c>
      <c r="E84" s="9" t="s">
        <v>11</v>
      </c>
      <c r="F84" s="8" t="s">
        <v>233</v>
      </c>
      <c r="G84" s="7" t="s">
        <v>233</v>
      </c>
      <c r="H84" s="7" t="n">
        <v>0</v>
      </c>
      <c r="I84" s="7" t="s">
        <v>52</v>
      </c>
      <c r="J84" s="7" t="s">
        <v>53</v>
      </c>
      <c r="K84" s="3" t="s">
        <v>54</v>
      </c>
      <c r="L84" s="7" t="s">
        <v>233</v>
      </c>
      <c r="M84" s="7" t="s">
        <v>233</v>
      </c>
      <c r="N84" s="3" t="s">
        <v>55</v>
      </c>
      <c r="O84" s="7" t="s">
        <v>56</v>
      </c>
      <c r="P84" s="3" t="s">
        <v>283</v>
      </c>
      <c r="Q84" s="9" t="s">
        <v>11</v>
      </c>
      <c r="R84" s="4" t="s">
        <v>11</v>
      </c>
      <c r="S84" s="11"/>
      <c r="T84" s="12"/>
      <c r="U84" s="11"/>
      <c r="V84" s="11"/>
      <c r="W84" s="13" t="s">
        <v>57</v>
      </c>
      <c r="X84" s="13" t="n">
        <v>0</v>
      </c>
      <c r="Y84" s="13" t="s">
        <v>284</v>
      </c>
      <c r="Z84" s="13" t="s">
        <v>59</v>
      </c>
      <c r="AA84" s="5" t="s">
        <v>57</v>
      </c>
      <c r="AB84" s="5" t="s">
        <v>57</v>
      </c>
    </row>
    <row r="85" customFormat="false" ht="23.85" hidden="false" customHeight="false" outlineLevel="0" collapsed="false">
      <c r="A85" s="7" t="s">
        <v>285</v>
      </c>
      <c r="B85" s="9" t="s">
        <v>11</v>
      </c>
      <c r="C85" s="9" t="s">
        <v>11</v>
      </c>
      <c r="D85" s="7" t="s">
        <v>254</v>
      </c>
      <c r="E85" s="9" t="s">
        <v>11</v>
      </c>
      <c r="F85" s="8" t="s">
        <v>233</v>
      </c>
      <c r="G85" s="7" t="s">
        <v>233</v>
      </c>
      <c r="H85" s="7" t="n">
        <v>0</v>
      </c>
      <c r="I85" s="7" t="s">
        <v>52</v>
      </c>
      <c r="J85" s="7" t="s">
        <v>53</v>
      </c>
      <c r="K85" s="3" t="s">
        <v>54</v>
      </c>
      <c r="L85" s="7" t="s">
        <v>233</v>
      </c>
      <c r="M85" s="7" t="s">
        <v>233</v>
      </c>
      <c r="N85" s="3" t="s">
        <v>55</v>
      </c>
      <c r="O85" s="7" t="s">
        <v>56</v>
      </c>
      <c r="P85" s="3" t="s">
        <v>57</v>
      </c>
      <c r="Q85" s="9" t="s">
        <v>11</v>
      </c>
      <c r="R85" s="4" t="s">
        <v>11</v>
      </c>
      <c r="S85" s="11"/>
      <c r="T85" s="12"/>
      <c r="U85" s="11"/>
      <c r="V85" s="11"/>
      <c r="W85" s="13" t="s">
        <v>57</v>
      </c>
      <c r="X85" s="13" t="n">
        <v>23</v>
      </c>
      <c r="Y85" s="13" t="s">
        <v>255</v>
      </c>
      <c r="Z85" s="13" t="s">
        <v>59</v>
      </c>
      <c r="AA85" s="5" t="s">
        <v>261</v>
      </c>
      <c r="AB85" s="5" t="s">
        <v>57</v>
      </c>
    </row>
    <row r="86" customFormat="false" ht="23.85" hidden="false" customHeight="false" outlineLevel="0" collapsed="false">
      <c r="A86" s="7" t="s">
        <v>286</v>
      </c>
      <c r="B86" s="9" t="s">
        <v>11</v>
      </c>
      <c r="C86" s="9" t="s">
        <v>11</v>
      </c>
      <c r="D86" s="7" t="s">
        <v>254</v>
      </c>
      <c r="E86" s="9" t="s">
        <v>11</v>
      </c>
      <c r="F86" s="8" t="s">
        <v>233</v>
      </c>
      <c r="G86" s="7" t="s">
        <v>233</v>
      </c>
      <c r="H86" s="7" t="n">
        <v>0</v>
      </c>
      <c r="I86" s="7" t="s">
        <v>52</v>
      </c>
      <c r="J86" s="7" t="s">
        <v>53</v>
      </c>
      <c r="K86" s="3" t="s">
        <v>204</v>
      </c>
      <c r="L86" s="7" t="s">
        <v>233</v>
      </c>
      <c r="M86" s="7" t="s">
        <v>233</v>
      </c>
      <c r="N86" s="3" t="s">
        <v>55</v>
      </c>
      <c r="O86" s="7" t="s">
        <v>56</v>
      </c>
      <c r="P86" s="3" t="s">
        <v>57</v>
      </c>
      <c r="Q86" s="9" t="s">
        <v>11</v>
      </c>
      <c r="R86" s="4" t="s">
        <v>11</v>
      </c>
      <c r="S86" s="11"/>
      <c r="T86" s="12"/>
      <c r="U86" s="11"/>
      <c r="V86" s="11"/>
      <c r="W86" s="13" t="s">
        <v>57</v>
      </c>
      <c r="X86" s="13" t="n">
        <v>0</v>
      </c>
      <c r="Y86" s="13" t="s">
        <v>287</v>
      </c>
      <c r="Z86" s="13" t="s">
        <v>59</v>
      </c>
      <c r="AA86" s="5" t="s">
        <v>57</v>
      </c>
      <c r="AB86" s="5" t="s">
        <v>57</v>
      </c>
    </row>
    <row r="87" customFormat="false" ht="23.85" hidden="false" customHeight="false" outlineLevel="0" collapsed="false">
      <c r="A87" s="7" t="s">
        <v>288</v>
      </c>
      <c r="B87" s="9" t="s">
        <v>11</v>
      </c>
      <c r="C87" s="9" t="s">
        <v>11</v>
      </c>
      <c r="D87" s="7" t="s">
        <v>254</v>
      </c>
      <c r="E87" s="9" t="s">
        <v>11</v>
      </c>
      <c r="F87" s="8" t="s">
        <v>233</v>
      </c>
      <c r="G87" s="7" t="s">
        <v>233</v>
      </c>
      <c r="H87" s="7" t="n">
        <v>0</v>
      </c>
      <c r="I87" s="7" t="s">
        <v>52</v>
      </c>
      <c r="J87" s="7" t="s">
        <v>53</v>
      </c>
      <c r="K87" s="3" t="s">
        <v>54</v>
      </c>
      <c r="L87" s="7" t="s">
        <v>233</v>
      </c>
      <c r="M87" s="7" t="s">
        <v>233</v>
      </c>
      <c r="N87" s="3" t="s">
        <v>55</v>
      </c>
      <c r="O87" s="7" t="s">
        <v>56</v>
      </c>
      <c r="P87" s="3" t="s">
        <v>57</v>
      </c>
      <c r="Q87" s="9" t="s">
        <v>11</v>
      </c>
      <c r="R87" s="4" t="s">
        <v>11</v>
      </c>
      <c r="S87" s="11"/>
      <c r="T87" s="12"/>
      <c r="U87" s="11"/>
      <c r="V87" s="11"/>
      <c r="W87" s="13" t="s">
        <v>57</v>
      </c>
      <c r="X87" s="13" t="n">
        <v>23</v>
      </c>
      <c r="Y87" s="13" t="s">
        <v>255</v>
      </c>
      <c r="Z87" s="13" t="s">
        <v>59</v>
      </c>
      <c r="AA87" s="5" t="s">
        <v>261</v>
      </c>
      <c r="AB87" s="5" t="s">
        <v>57</v>
      </c>
    </row>
    <row r="88" customFormat="false" ht="23.85" hidden="false" customHeight="false" outlineLevel="0" collapsed="false">
      <c r="A88" s="7" t="s">
        <v>289</v>
      </c>
      <c r="B88" s="9" t="s">
        <v>11</v>
      </c>
      <c r="C88" s="9" t="s">
        <v>11</v>
      </c>
      <c r="D88" s="7" t="s">
        <v>254</v>
      </c>
      <c r="E88" s="9" t="s">
        <v>11</v>
      </c>
      <c r="F88" s="8" t="s">
        <v>233</v>
      </c>
      <c r="G88" s="7" t="s">
        <v>233</v>
      </c>
      <c r="H88" s="7" t="n">
        <v>0</v>
      </c>
      <c r="I88" s="7" t="s">
        <v>52</v>
      </c>
      <c r="J88" s="7" t="s">
        <v>53</v>
      </c>
      <c r="K88" s="3" t="s">
        <v>54</v>
      </c>
      <c r="L88" s="7" t="s">
        <v>233</v>
      </c>
      <c r="M88" s="7" t="s">
        <v>233</v>
      </c>
      <c r="N88" s="3" t="s">
        <v>55</v>
      </c>
      <c r="O88" s="7" t="s">
        <v>56</v>
      </c>
      <c r="P88" s="3" t="s">
        <v>57</v>
      </c>
      <c r="Q88" s="9" t="s">
        <v>11</v>
      </c>
      <c r="R88" s="4" t="s">
        <v>11</v>
      </c>
      <c r="S88" s="11"/>
      <c r="T88" s="12"/>
      <c r="U88" s="11"/>
      <c r="V88" s="11"/>
      <c r="W88" s="13" t="s">
        <v>57</v>
      </c>
      <c r="X88" s="13" t="n">
        <v>0</v>
      </c>
      <c r="Y88" s="13" t="s">
        <v>290</v>
      </c>
      <c r="Z88" s="13" t="s">
        <v>59</v>
      </c>
      <c r="AA88" s="5" t="s">
        <v>291</v>
      </c>
      <c r="AB88" s="5" t="s">
        <v>57</v>
      </c>
    </row>
    <row r="89" customFormat="false" ht="23.85" hidden="false" customHeight="false" outlineLevel="0" collapsed="false">
      <c r="A89" s="7" t="s">
        <v>292</v>
      </c>
      <c r="B89" s="9" t="s">
        <v>11</v>
      </c>
      <c r="C89" s="9" t="s">
        <v>11</v>
      </c>
      <c r="D89" s="7" t="s">
        <v>254</v>
      </c>
      <c r="E89" s="9" t="s">
        <v>11</v>
      </c>
      <c r="F89" s="8" t="s">
        <v>233</v>
      </c>
      <c r="G89" s="7" t="s">
        <v>233</v>
      </c>
      <c r="H89" s="7" t="n">
        <v>0</v>
      </c>
      <c r="I89" s="7" t="s">
        <v>52</v>
      </c>
      <c r="J89" s="7" t="s">
        <v>53</v>
      </c>
      <c r="K89" s="3" t="s">
        <v>54</v>
      </c>
      <c r="L89" s="7" t="s">
        <v>233</v>
      </c>
      <c r="M89" s="7" t="s">
        <v>233</v>
      </c>
      <c r="N89" s="3" t="s">
        <v>55</v>
      </c>
      <c r="O89" s="7" t="s">
        <v>56</v>
      </c>
      <c r="P89" s="3" t="s">
        <v>57</v>
      </c>
      <c r="Q89" s="9" t="s">
        <v>11</v>
      </c>
      <c r="R89" s="4" t="s">
        <v>11</v>
      </c>
      <c r="S89" s="11"/>
      <c r="T89" s="12"/>
      <c r="U89" s="11"/>
      <c r="V89" s="11"/>
      <c r="W89" s="13" t="s">
        <v>57</v>
      </c>
      <c r="X89" s="13" t="n">
        <v>23</v>
      </c>
      <c r="Y89" s="13" t="s">
        <v>255</v>
      </c>
      <c r="Z89" s="13" t="s">
        <v>59</v>
      </c>
      <c r="AA89" s="5" t="s">
        <v>261</v>
      </c>
      <c r="AB89" s="5" t="s">
        <v>57</v>
      </c>
    </row>
    <row r="90" customFormat="false" ht="23.85" hidden="false" customHeight="false" outlineLevel="0" collapsed="false">
      <c r="A90" s="7" t="s">
        <v>293</v>
      </c>
      <c r="B90" s="9" t="s">
        <v>11</v>
      </c>
      <c r="C90" s="9" t="s">
        <v>11</v>
      </c>
      <c r="D90" s="7" t="s">
        <v>254</v>
      </c>
      <c r="E90" s="9" t="s">
        <v>11</v>
      </c>
      <c r="F90" s="8" t="s">
        <v>233</v>
      </c>
      <c r="G90" s="7" t="s">
        <v>233</v>
      </c>
      <c r="H90" s="7" t="n">
        <v>0</v>
      </c>
      <c r="I90" s="7" t="s">
        <v>52</v>
      </c>
      <c r="J90" s="7" t="s">
        <v>53</v>
      </c>
      <c r="K90" s="3" t="s">
        <v>54</v>
      </c>
      <c r="L90" s="7" t="s">
        <v>233</v>
      </c>
      <c r="M90" s="7" t="s">
        <v>233</v>
      </c>
      <c r="N90" s="3" t="s">
        <v>55</v>
      </c>
      <c r="O90" s="7" t="s">
        <v>56</v>
      </c>
      <c r="P90" s="3" t="s">
        <v>57</v>
      </c>
      <c r="Q90" s="9" t="s">
        <v>11</v>
      </c>
      <c r="R90" s="4" t="s">
        <v>11</v>
      </c>
      <c r="S90" s="11"/>
      <c r="T90" s="12"/>
      <c r="U90" s="11"/>
      <c r="V90" s="11"/>
      <c r="W90" s="13" t="s">
        <v>57</v>
      </c>
      <c r="X90" s="13" t="n">
        <v>23</v>
      </c>
      <c r="Y90" s="13" t="s">
        <v>255</v>
      </c>
      <c r="Z90" s="13" t="s">
        <v>59</v>
      </c>
      <c r="AA90" s="5" t="s">
        <v>261</v>
      </c>
      <c r="AB90" s="5" t="s">
        <v>57</v>
      </c>
    </row>
    <row r="91" customFormat="false" ht="23.85" hidden="false" customHeight="false" outlineLevel="0" collapsed="false">
      <c r="A91" s="7" t="s">
        <v>294</v>
      </c>
      <c r="B91" s="9" t="s">
        <v>11</v>
      </c>
      <c r="C91" s="9" t="s">
        <v>11</v>
      </c>
      <c r="D91" s="7" t="s">
        <v>254</v>
      </c>
      <c r="E91" s="9" t="s">
        <v>11</v>
      </c>
      <c r="F91" s="8" t="s">
        <v>233</v>
      </c>
      <c r="G91" s="7" t="s">
        <v>233</v>
      </c>
      <c r="H91" s="7" t="n">
        <v>0</v>
      </c>
      <c r="I91" s="7" t="s">
        <v>52</v>
      </c>
      <c r="J91" s="7" t="s">
        <v>53</v>
      </c>
      <c r="K91" s="3" t="s">
        <v>54</v>
      </c>
      <c r="L91" s="7" t="s">
        <v>233</v>
      </c>
      <c r="M91" s="7" t="s">
        <v>233</v>
      </c>
      <c r="N91" s="3" t="s">
        <v>55</v>
      </c>
      <c r="O91" s="7" t="s">
        <v>56</v>
      </c>
      <c r="P91" s="3" t="s">
        <v>267</v>
      </c>
      <c r="Q91" s="9" t="s">
        <v>11</v>
      </c>
      <c r="R91" s="4" t="s">
        <v>11</v>
      </c>
      <c r="S91" s="11"/>
      <c r="T91" s="12"/>
      <c r="U91" s="11"/>
      <c r="V91" s="11"/>
      <c r="W91" s="13" t="s">
        <v>57</v>
      </c>
      <c r="X91" s="13" t="n">
        <v>1</v>
      </c>
      <c r="Y91" s="13" t="s">
        <v>268</v>
      </c>
      <c r="Z91" s="13" t="s">
        <v>59</v>
      </c>
      <c r="AA91" s="5" t="s">
        <v>269</v>
      </c>
      <c r="AB91" s="5" t="s">
        <v>57</v>
      </c>
    </row>
    <row r="92" customFormat="false" ht="23.85" hidden="false" customHeight="false" outlineLevel="0" collapsed="false">
      <c r="A92" s="7" t="s">
        <v>295</v>
      </c>
      <c r="B92" s="9" t="s">
        <v>11</v>
      </c>
      <c r="C92" s="9" t="s">
        <v>11</v>
      </c>
      <c r="D92" s="7" t="s">
        <v>254</v>
      </c>
      <c r="E92" s="9" t="s">
        <v>11</v>
      </c>
      <c r="F92" s="8" t="s">
        <v>233</v>
      </c>
      <c r="G92" s="7" t="s">
        <v>233</v>
      </c>
      <c r="H92" s="7" t="n">
        <v>0</v>
      </c>
      <c r="I92" s="7" t="s">
        <v>52</v>
      </c>
      <c r="J92" s="7" t="s">
        <v>53</v>
      </c>
      <c r="K92" s="3" t="s">
        <v>54</v>
      </c>
      <c r="L92" s="7" t="s">
        <v>233</v>
      </c>
      <c r="M92" s="7" t="s">
        <v>233</v>
      </c>
      <c r="N92" s="3" t="s">
        <v>55</v>
      </c>
      <c r="O92" s="7" t="s">
        <v>56</v>
      </c>
      <c r="P92" s="3" t="s">
        <v>57</v>
      </c>
      <c r="Q92" s="9" t="s">
        <v>11</v>
      </c>
      <c r="R92" s="4" t="s">
        <v>11</v>
      </c>
      <c r="S92" s="11"/>
      <c r="T92" s="12"/>
      <c r="U92" s="11"/>
      <c r="V92" s="11"/>
      <c r="W92" s="13" t="s">
        <v>57</v>
      </c>
      <c r="X92" s="13" t="n">
        <v>23</v>
      </c>
      <c r="Y92" s="13" t="s">
        <v>255</v>
      </c>
      <c r="Z92" s="13" t="s">
        <v>59</v>
      </c>
      <c r="AA92" s="5" t="s">
        <v>261</v>
      </c>
      <c r="AB92" s="5" t="s">
        <v>57</v>
      </c>
    </row>
    <row r="93" customFormat="false" ht="23.85" hidden="false" customHeight="false" outlineLevel="0" collapsed="false">
      <c r="A93" s="7" t="s">
        <v>296</v>
      </c>
      <c r="B93" s="9" t="s">
        <v>11</v>
      </c>
      <c r="C93" s="9" t="s">
        <v>11</v>
      </c>
      <c r="D93" s="7" t="s">
        <v>254</v>
      </c>
      <c r="E93" s="9" t="s">
        <v>11</v>
      </c>
      <c r="F93" s="8" t="s">
        <v>233</v>
      </c>
      <c r="G93" s="7" t="s">
        <v>233</v>
      </c>
      <c r="H93" s="7" t="n">
        <v>0</v>
      </c>
      <c r="I93" s="7" t="s">
        <v>52</v>
      </c>
      <c r="J93" s="7" t="s">
        <v>53</v>
      </c>
      <c r="K93" s="3" t="s">
        <v>54</v>
      </c>
      <c r="L93" s="7" t="s">
        <v>233</v>
      </c>
      <c r="M93" s="7" t="s">
        <v>233</v>
      </c>
      <c r="N93" s="3" t="s">
        <v>55</v>
      </c>
      <c r="O93" s="7" t="s">
        <v>56</v>
      </c>
      <c r="P93" s="3" t="s">
        <v>57</v>
      </c>
      <c r="Q93" s="9" t="s">
        <v>11</v>
      </c>
      <c r="R93" s="4" t="s">
        <v>11</v>
      </c>
      <c r="S93" s="11"/>
      <c r="T93" s="12"/>
      <c r="U93" s="11"/>
      <c r="V93" s="11"/>
      <c r="W93" s="13" t="s">
        <v>57</v>
      </c>
      <c r="X93" s="13" t="n">
        <v>23</v>
      </c>
      <c r="Y93" s="13" t="s">
        <v>255</v>
      </c>
      <c r="Z93" s="13" t="s">
        <v>59</v>
      </c>
      <c r="AA93" s="5" t="s">
        <v>256</v>
      </c>
      <c r="AB93" s="5" t="s">
        <v>57</v>
      </c>
    </row>
    <row r="94" customFormat="false" ht="23.85" hidden="false" customHeight="false" outlineLevel="0" collapsed="false">
      <c r="A94" s="7" t="s">
        <v>297</v>
      </c>
      <c r="B94" s="9" t="s">
        <v>11</v>
      </c>
      <c r="C94" s="9" t="s">
        <v>11</v>
      </c>
      <c r="D94" s="7" t="s">
        <v>254</v>
      </c>
      <c r="E94" s="9" t="s">
        <v>11</v>
      </c>
      <c r="F94" s="8" t="s">
        <v>233</v>
      </c>
      <c r="G94" s="7" t="s">
        <v>233</v>
      </c>
      <c r="H94" s="7" t="n">
        <v>0</v>
      </c>
      <c r="I94" s="7" t="s">
        <v>52</v>
      </c>
      <c r="J94" s="7" t="s">
        <v>53</v>
      </c>
      <c r="K94" s="3" t="s">
        <v>54</v>
      </c>
      <c r="L94" s="7" t="s">
        <v>233</v>
      </c>
      <c r="M94" s="7" t="s">
        <v>233</v>
      </c>
      <c r="N94" s="3" t="s">
        <v>55</v>
      </c>
      <c r="O94" s="7" t="s">
        <v>56</v>
      </c>
      <c r="P94" s="3" t="s">
        <v>298</v>
      </c>
      <c r="Q94" s="9" t="s">
        <v>11</v>
      </c>
      <c r="R94" s="4" t="s">
        <v>11</v>
      </c>
      <c r="S94" s="11"/>
      <c r="T94" s="12"/>
      <c r="U94" s="11"/>
      <c r="V94" s="11"/>
      <c r="W94" s="13" t="s">
        <v>57</v>
      </c>
      <c r="X94" s="13" t="n">
        <v>0</v>
      </c>
      <c r="Y94" s="13" t="s">
        <v>299</v>
      </c>
      <c r="Z94" s="13" t="s">
        <v>59</v>
      </c>
      <c r="AA94" s="5" t="s">
        <v>57</v>
      </c>
      <c r="AB94" s="5" t="s">
        <v>57</v>
      </c>
    </row>
    <row r="95" customFormat="false" ht="23.85" hidden="false" customHeight="false" outlineLevel="0" collapsed="false">
      <c r="A95" s="7" t="s">
        <v>300</v>
      </c>
      <c r="B95" s="9" t="s">
        <v>11</v>
      </c>
      <c r="C95" s="9" t="s">
        <v>11</v>
      </c>
      <c r="D95" s="7" t="s">
        <v>254</v>
      </c>
      <c r="E95" s="9" t="s">
        <v>11</v>
      </c>
      <c r="F95" s="8" t="s">
        <v>233</v>
      </c>
      <c r="G95" s="7" t="s">
        <v>233</v>
      </c>
      <c r="H95" s="7" t="n">
        <v>0</v>
      </c>
      <c r="I95" s="7" t="s">
        <v>52</v>
      </c>
      <c r="J95" s="7" t="s">
        <v>53</v>
      </c>
      <c r="K95" s="3" t="s">
        <v>54</v>
      </c>
      <c r="L95" s="7" t="s">
        <v>233</v>
      </c>
      <c r="M95" s="7" t="s">
        <v>233</v>
      </c>
      <c r="N95" s="3" t="s">
        <v>55</v>
      </c>
      <c r="O95" s="7" t="s">
        <v>56</v>
      </c>
      <c r="P95" s="3" t="s">
        <v>57</v>
      </c>
      <c r="Q95" s="9" t="s">
        <v>11</v>
      </c>
      <c r="R95" s="4" t="s">
        <v>11</v>
      </c>
      <c r="S95" s="11"/>
      <c r="T95" s="12"/>
      <c r="U95" s="11"/>
      <c r="V95" s="11"/>
      <c r="W95" s="13" t="s">
        <v>57</v>
      </c>
      <c r="X95" s="13" t="n">
        <v>23</v>
      </c>
      <c r="Y95" s="13" t="s">
        <v>255</v>
      </c>
      <c r="Z95" s="13" t="s">
        <v>59</v>
      </c>
      <c r="AA95" s="5" t="s">
        <v>256</v>
      </c>
      <c r="AB95" s="5" t="s">
        <v>57</v>
      </c>
    </row>
    <row r="96" customFormat="false" ht="23.85" hidden="false" customHeight="false" outlineLevel="0" collapsed="false">
      <c r="A96" s="7" t="s">
        <v>301</v>
      </c>
      <c r="B96" s="9" t="s">
        <v>11</v>
      </c>
      <c r="C96" s="9" t="s">
        <v>11</v>
      </c>
      <c r="D96" s="7" t="s">
        <v>254</v>
      </c>
      <c r="E96" s="9" t="s">
        <v>11</v>
      </c>
      <c r="F96" s="8" t="s">
        <v>233</v>
      </c>
      <c r="G96" s="7" t="s">
        <v>233</v>
      </c>
      <c r="H96" s="7" t="n">
        <v>0</v>
      </c>
      <c r="I96" s="7" t="s">
        <v>52</v>
      </c>
      <c r="J96" s="7" t="s">
        <v>53</v>
      </c>
      <c r="K96" s="3" t="s">
        <v>54</v>
      </c>
      <c r="L96" s="7" t="s">
        <v>233</v>
      </c>
      <c r="M96" s="7" t="s">
        <v>233</v>
      </c>
      <c r="N96" s="3" t="s">
        <v>55</v>
      </c>
      <c r="O96" s="7" t="s">
        <v>56</v>
      </c>
      <c r="P96" s="3" t="s">
        <v>57</v>
      </c>
      <c r="Q96" s="9" t="s">
        <v>11</v>
      </c>
      <c r="R96" s="4" t="s">
        <v>11</v>
      </c>
      <c r="S96" s="11"/>
      <c r="T96" s="12"/>
      <c r="U96" s="11"/>
      <c r="V96" s="11"/>
      <c r="W96" s="13" t="s">
        <v>57</v>
      </c>
      <c r="X96" s="13" t="n">
        <v>23</v>
      </c>
      <c r="Y96" s="13" t="s">
        <v>255</v>
      </c>
      <c r="Z96" s="13" t="s">
        <v>59</v>
      </c>
      <c r="AA96" s="5" t="s">
        <v>256</v>
      </c>
      <c r="AB96" s="5" t="s">
        <v>57</v>
      </c>
    </row>
    <row r="97" customFormat="false" ht="23.85" hidden="false" customHeight="false" outlineLevel="0" collapsed="false">
      <c r="A97" s="7" t="s">
        <v>302</v>
      </c>
      <c r="B97" s="9" t="s">
        <v>11</v>
      </c>
      <c r="C97" s="9" t="s">
        <v>11</v>
      </c>
      <c r="D97" s="7" t="s">
        <v>254</v>
      </c>
      <c r="E97" s="9" t="s">
        <v>11</v>
      </c>
      <c r="F97" s="8" t="s">
        <v>233</v>
      </c>
      <c r="G97" s="7" t="s">
        <v>233</v>
      </c>
      <c r="H97" s="7" t="n">
        <v>0</v>
      </c>
      <c r="I97" s="7" t="s">
        <v>52</v>
      </c>
      <c r="J97" s="7" t="s">
        <v>53</v>
      </c>
      <c r="K97" s="3" t="s">
        <v>303</v>
      </c>
      <c r="L97" s="7" t="s">
        <v>233</v>
      </c>
      <c r="M97" s="7" t="s">
        <v>233</v>
      </c>
      <c r="N97" s="3" t="s">
        <v>55</v>
      </c>
      <c r="O97" s="7" t="s">
        <v>56</v>
      </c>
      <c r="P97" s="3" t="s">
        <v>57</v>
      </c>
      <c r="Q97" s="9" t="s">
        <v>11</v>
      </c>
      <c r="R97" s="4" t="s">
        <v>11</v>
      </c>
      <c r="S97" s="11"/>
      <c r="T97" s="12"/>
      <c r="U97" s="11"/>
      <c r="V97" s="11"/>
      <c r="W97" s="13" t="s">
        <v>57</v>
      </c>
      <c r="X97" s="13" t="n">
        <v>0</v>
      </c>
      <c r="Y97" s="13" t="s">
        <v>304</v>
      </c>
      <c r="Z97" s="13" t="s">
        <v>59</v>
      </c>
      <c r="AA97" s="5" t="s">
        <v>57</v>
      </c>
      <c r="AB97" s="5" t="s">
        <v>57</v>
      </c>
    </row>
    <row r="98" customFormat="false" ht="23.85" hidden="false" customHeight="false" outlineLevel="0" collapsed="false">
      <c r="A98" s="7" t="s">
        <v>305</v>
      </c>
      <c r="B98" s="9" t="s">
        <v>11</v>
      </c>
      <c r="C98" s="9" t="s">
        <v>11</v>
      </c>
      <c r="D98" s="7" t="s">
        <v>254</v>
      </c>
      <c r="E98" s="9" t="s">
        <v>11</v>
      </c>
      <c r="F98" s="8" t="s">
        <v>233</v>
      </c>
      <c r="G98" s="7" t="s">
        <v>233</v>
      </c>
      <c r="H98" s="7" t="n">
        <v>0</v>
      </c>
      <c r="I98" s="7" t="s">
        <v>52</v>
      </c>
      <c r="J98" s="7" t="s">
        <v>53</v>
      </c>
      <c r="K98" s="3" t="s">
        <v>54</v>
      </c>
      <c r="L98" s="7" t="s">
        <v>233</v>
      </c>
      <c r="M98" s="7" t="s">
        <v>233</v>
      </c>
      <c r="N98" s="3" t="s">
        <v>55</v>
      </c>
      <c r="O98" s="7" t="s">
        <v>56</v>
      </c>
      <c r="P98" s="3" t="s">
        <v>306</v>
      </c>
      <c r="Q98" s="9" t="s">
        <v>11</v>
      </c>
      <c r="R98" s="4" t="s">
        <v>11</v>
      </c>
      <c r="S98" s="11"/>
      <c r="T98" s="12"/>
      <c r="U98" s="11"/>
      <c r="V98" s="11"/>
      <c r="W98" s="13" t="s">
        <v>57</v>
      </c>
      <c r="X98" s="13" t="n">
        <v>0</v>
      </c>
      <c r="Y98" s="13" t="s">
        <v>307</v>
      </c>
      <c r="Z98" s="13" t="s">
        <v>59</v>
      </c>
      <c r="AA98" s="5" t="s">
        <v>57</v>
      </c>
      <c r="AB98" s="5" t="s">
        <v>57</v>
      </c>
    </row>
    <row r="99" customFormat="false" ht="23.85" hidden="false" customHeight="false" outlineLevel="0" collapsed="false">
      <c r="A99" s="7" t="s">
        <v>308</v>
      </c>
      <c r="B99" s="9" t="s">
        <v>11</v>
      </c>
      <c r="C99" s="9" t="s">
        <v>11</v>
      </c>
      <c r="D99" s="7" t="s">
        <v>254</v>
      </c>
      <c r="E99" s="9" t="s">
        <v>11</v>
      </c>
      <c r="F99" s="8" t="s">
        <v>233</v>
      </c>
      <c r="G99" s="7" t="s">
        <v>233</v>
      </c>
      <c r="H99" s="7" t="n">
        <v>0</v>
      </c>
      <c r="I99" s="7" t="s">
        <v>52</v>
      </c>
      <c r="J99" s="7" t="s">
        <v>53</v>
      </c>
      <c r="K99" s="3" t="s">
        <v>54</v>
      </c>
      <c r="L99" s="7" t="s">
        <v>233</v>
      </c>
      <c r="M99" s="7" t="s">
        <v>233</v>
      </c>
      <c r="N99" s="3" t="s">
        <v>55</v>
      </c>
      <c r="O99" s="7" t="s">
        <v>56</v>
      </c>
      <c r="P99" s="3" t="s">
        <v>57</v>
      </c>
      <c r="Q99" s="9" t="s">
        <v>11</v>
      </c>
      <c r="R99" s="4" t="s">
        <v>11</v>
      </c>
      <c r="S99" s="11"/>
      <c r="T99" s="12"/>
      <c r="U99" s="11"/>
      <c r="V99" s="11"/>
      <c r="W99" s="13" t="s">
        <v>57</v>
      </c>
      <c r="X99" s="13" t="n">
        <v>23</v>
      </c>
      <c r="Y99" s="13" t="s">
        <v>255</v>
      </c>
      <c r="Z99" s="13" t="s">
        <v>59</v>
      </c>
      <c r="AA99" s="5" t="s">
        <v>256</v>
      </c>
      <c r="AB99" s="5" t="s">
        <v>57</v>
      </c>
    </row>
    <row r="100" customFormat="false" ht="23.85" hidden="false" customHeight="false" outlineLevel="0" collapsed="false">
      <c r="A100" s="7" t="s">
        <v>309</v>
      </c>
      <c r="B100" s="9" t="s">
        <v>11</v>
      </c>
      <c r="C100" s="9" t="s">
        <v>11</v>
      </c>
      <c r="D100" s="7" t="s">
        <v>254</v>
      </c>
      <c r="E100" s="9" t="s">
        <v>11</v>
      </c>
      <c r="F100" s="8" t="s">
        <v>233</v>
      </c>
      <c r="G100" s="7" t="s">
        <v>233</v>
      </c>
      <c r="H100" s="7" t="n">
        <v>0</v>
      </c>
      <c r="I100" s="7" t="s">
        <v>52</v>
      </c>
      <c r="J100" s="7" t="s">
        <v>53</v>
      </c>
      <c r="K100" s="3" t="s">
        <v>54</v>
      </c>
      <c r="L100" s="7" t="s">
        <v>233</v>
      </c>
      <c r="M100" s="7" t="s">
        <v>233</v>
      </c>
      <c r="N100" s="3" t="s">
        <v>55</v>
      </c>
      <c r="O100" s="7" t="s">
        <v>56</v>
      </c>
      <c r="P100" s="3" t="s">
        <v>57</v>
      </c>
      <c r="Q100" s="9" t="s">
        <v>11</v>
      </c>
      <c r="R100" s="4" t="s">
        <v>11</v>
      </c>
      <c r="S100" s="11"/>
      <c r="T100" s="12"/>
      <c r="U100" s="11"/>
      <c r="V100" s="11"/>
      <c r="W100" s="13" t="s">
        <v>57</v>
      </c>
      <c r="X100" s="13" t="n">
        <v>23</v>
      </c>
      <c r="Y100" s="13" t="s">
        <v>255</v>
      </c>
      <c r="Z100" s="13" t="s">
        <v>59</v>
      </c>
      <c r="AA100" s="5" t="s">
        <v>256</v>
      </c>
      <c r="AB100" s="5" t="s">
        <v>57</v>
      </c>
    </row>
    <row r="101" customFormat="false" ht="23.85" hidden="false" customHeight="false" outlineLevel="0" collapsed="false">
      <c r="A101" s="7" t="s">
        <v>310</v>
      </c>
      <c r="B101" s="7" t="s">
        <v>216</v>
      </c>
      <c r="C101" s="7" t="s">
        <v>311</v>
      </c>
      <c r="D101" s="7" t="s">
        <v>312</v>
      </c>
      <c r="E101" s="7" t="n">
        <v>18</v>
      </c>
      <c r="F101" s="8"/>
      <c r="G101" s="7" t="s">
        <v>233</v>
      </c>
      <c r="H101" s="7" t="n">
        <v>0</v>
      </c>
      <c r="I101" s="7" t="s">
        <v>52</v>
      </c>
      <c r="J101" s="7" t="s">
        <v>53</v>
      </c>
      <c r="K101" s="3" t="s">
        <v>54</v>
      </c>
      <c r="L101" s="7" t="s">
        <v>313</v>
      </c>
      <c r="M101" s="7" t="s">
        <v>233</v>
      </c>
      <c r="N101" s="3" t="s">
        <v>55</v>
      </c>
      <c r="O101" s="7" t="s">
        <v>56</v>
      </c>
      <c r="P101" s="3" t="s">
        <v>57</v>
      </c>
      <c r="Q101" s="9" t="s">
        <v>11</v>
      </c>
      <c r="R101" s="4" t="s">
        <v>11</v>
      </c>
      <c r="S101" s="11" t="n">
        <v>0</v>
      </c>
      <c r="T101" s="12"/>
      <c r="U101" s="11"/>
      <c r="V101" s="11"/>
      <c r="W101" s="13" t="s">
        <v>57</v>
      </c>
      <c r="X101" s="13" t="n">
        <v>2</v>
      </c>
      <c r="Y101" s="13" t="s">
        <v>314</v>
      </c>
      <c r="Z101" s="13" t="s">
        <v>59</v>
      </c>
      <c r="AA101" s="5" t="s">
        <v>315</v>
      </c>
      <c r="AB101" s="14" t="s">
        <v>316</v>
      </c>
    </row>
    <row r="102" customFormat="false" ht="23.85" hidden="false" customHeight="false" outlineLevel="0" collapsed="false">
      <c r="A102" s="7" t="s">
        <v>317</v>
      </c>
      <c r="B102" s="7" t="s">
        <v>216</v>
      </c>
      <c r="C102" s="7" t="s">
        <v>311</v>
      </c>
      <c r="D102" s="7" t="s">
        <v>312</v>
      </c>
      <c r="E102" s="7" t="n">
        <v>18</v>
      </c>
      <c r="F102" s="8"/>
      <c r="G102" s="7" t="s">
        <v>233</v>
      </c>
      <c r="H102" s="7" t="n">
        <v>0</v>
      </c>
      <c r="I102" s="7" t="s">
        <v>52</v>
      </c>
      <c r="J102" s="7" t="s">
        <v>53</v>
      </c>
      <c r="K102" s="3" t="s">
        <v>54</v>
      </c>
      <c r="L102" s="7" t="s">
        <v>313</v>
      </c>
      <c r="M102" s="7" t="s">
        <v>233</v>
      </c>
      <c r="N102" s="3" t="s">
        <v>55</v>
      </c>
      <c r="O102" s="7" t="s">
        <v>56</v>
      </c>
      <c r="P102" s="3" t="s">
        <v>57</v>
      </c>
      <c r="Q102" s="9" t="s">
        <v>11</v>
      </c>
      <c r="R102" s="4" t="s">
        <v>11</v>
      </c>
      <c r="S102" s="11" t="n">
        <v>0</v>
      </c>
      <c r="T102" s="12"/>
      <c r="U102" s="11"/>
      <c r="V102" s="11"/>
      <c r="W102" s="13" t="s">
        <v>57</v>
      </c>
      <c r="X102" s="13" t="n">
        <v>2</v>
      </c>
      <c r="Y102" s="13" t="s">
        <v>314</v>
      </c>
      <c r="Z102" s="13" t="s">
        <v>59</v>
      </c>
      <c r="AA102" s="5" t="s">
        <v>315</v>
      </c>
      <c r="AB102" s="14" t="s">
        <v>316</v>
      </c>
    </row>
    <row r="103" customFormat="false" ht="23.85" hidden="false" customHeight="false" outlineLevel="0" collapsed="false">
      <c r="A103" s="7" t="s">
        <v>318</v>
      </c>
      <c r="B103" s="7" t="s">
        <v>216</v>
      </c>
      <c r="C103" s="7" t="s">
        <v>311</v>
      </c>
      <c r="D103" s="7" t="s">
        <v>312</v>
      </c>
      <c r="E103" s="7" t="n">
        <v>18</v>
      </c>
      <c r="F103" s="8"/>
      <c r="G103" s="7" t="s">
        <v>233</v>
      </c>
      <c r="H103" s="7" t="n">
        <v>0</v>
      </c>
      <c r="I103" s="7" t="s">
        <v>52</v>
      </c>
      <c r="J103" s="7" t="s">
        <v>53</v>
      </c>
      <c r="K103" s="3" t="s">
        <v>54</v>
      </c>
      <c r="L103" s="7" t="s">
        <v>313</v>
      </c>
      <c r="M103" s="7" t="s">
        <v>233</v>
      </c>
      <c r="N103" s="3" t="s">
        <v>55</v>
      </c>
      <c r="O103" s="7" t="s">
        <v>56</v>
      </c>
      <c r="P103" s="3" t="s">
        <v>319</v>
      </c>
      <c r="Q103" s="9" t="s">
        <v>11</v>
      </c>
      <c r="R103" s="4" t="s">
        <v>11</v>
      </c>
      <c r="S103" s="11" t="n">
        <v>0</v>
      </c>
      <c r="T103" s="12"/>
      <c r="U103" s="11"/>
      <c r="V103" s="11"/>
      <c r="W103" s="13" t="s">
        <v>57</v>
      </c>
      <c r="X103" s="13" t="n">
        <v>2</v>
      </c>
      <c r="Y103" s="13" t="s">
        <v>314</v>
      </c>
      <c r="Z103" s="13" t="s">
        <v>67</v>
      </c>
      <c r="AA103" s="5" t="s">
        <v>320</v>
      </c>
      <c r="AB103" s="14" t="s">
        <v>316</v>
      </c>
    </row>
    <row r="104" customFormat="false" ht="23.85" hidden="false" customHeight="false" outlineLevel="0" collapsed="false">
      <c r="A104" s="7" t="s">
        <v>321</v>
      </c>
      <c r="B104" s="9" t="s">
        <v>11</v>
      </c>
      <c r="C104" s="9" t="s">
        <v>11</v>
      </c>
      <c r="D104" s="7" t="s">
        <v>312</v>
      </c>
      <c r="E104" s="9" t="s">
        <v>11</v>
      </c>
      <c r="F104" s="8" t="s">
        <v>233</v>
      </c>
      <c r="G104" s="7" t="s">
        <v>233</v>
      </c>
      <c r="H104" s="7" t="n">
        <v>0</v>
      </c>
      <c r="I104" s="7" t="s">
        <v>52</v>
      </c>
      <c r="J104" s="7" t="s">
        <v>53</v>
      </c>
      <c r="K104" s="3" t="s">
        <v>54</v>
      </c>
      <c r="L104" s="7" t="s">
        <v>233</v>
      </c>
      <c r="M104" s="7" t="s">
        <v>233</v>
      </c>
      <c r="N104" s="3" t="s">
        <v>55</v>
      </c>
      <c r="O104" s="7" t="s">
        <v>56</v>
      </c>
      <c r="P104" s="3" t="s">
        <v>251</v>
      </c>
      <c r="Q104" s="9" t="s">
        <v>11</v>
      </c>
      <c r="R104" s="4" t="s">
        <v>11</v>
      </c>
      <c r="S104" s="11"/>
      <c r="T104" s="12"/>
      <c r="U104" s="11"/>
      <c r="V104" s="11"/>
      <c r="W104" s="13" t="s">
        <v>57</v>
      </c>
      <c r="X104" s="13" t="n">
        <v>0</v>
      </c>
      <c r="Y104" s="13" t="s">
        <v>322</v>
      </c>
      <c r="Z104" s="13" t="s">
        <v>59</v>
      </c>
      <c r="AA104" s="5" t="s">
        <v>57</v>
      </c>
      <c r="AB104" s="5" t="s">
        <v>57</v>
      </c>
    </row>
    <row r="105" customFormat="false" ht="23.85" hidden="false" customHeight="false" outlineLevel="0" collapsed="false">
      <c r="A105" s="7" t="s">
        <v>323</v>
      </c>
      <c r="B105" s="9" t="s">
        <v>11</v>
      </c>
      <c r="C105" s="9" t="s">
        <v>11</v>
      </c>
      <c r="D105" s="7" t="s">
        <v>312</v>
      </c>
      <c r="E105" s="9" t="s">
        <v>11</v>
      </c>
      <c r="F105" s="8" t="s">
        <v>233</v>
      </c>
      <c r="G105" s="7" t="s">
        <v>233</v>
      </c>
      <c r="H105" s="7" t="n">
        <v>0</v>
      </c>
      <c r="I105" s="7" t="s">
        <v>52</v>
      </c>
      <c r="J105" s="7" t="s">
        <v>53</v>
      </c>
      <c r="K105" s="3" t="s">
        <v>99</v>
      </c>
      <c r="L105" s="7" t="s">
        <v>233</v>
      </c>
      <c r="M105" s="7" t="s">
        <v>233</v>
      </c>
      <c r="N105" s="3" t="s">
        <v>55</v>
      </c>
      <c r="O105" s="7" t="s">
        <v>56</v>
      </c>
      <c r="P105" s="3" t="s">
        <v>57</v>
      </c>
      <c r="Q105" s="9" t="s">
        <v>11</v>
      </c>
      <c r="R105" s="4" t="s">
        <v>11</v>
      </c>
      <c r="S105" s="11"/>
      <c r="T105" s="12"/>
      <c r="U105" s="11"/>
      <c r="V105" s="11"/>
      <c r="W105" s="13" t="s">
        <v>57</v>
      </c>
      <c r="X105" s="13" t="n">
        <v>4</v>
      </c>
      <c r="Y105" s="13" t="s">
        <v>324</v>
      </c>
      <c r="Z105" s="13" t="s">
        <v>59</v>
      </c>
      <c r="AA105" s="5" t="s">
        <v>325</v>
      </c>
      <c r="AB105" s="5" t="s">
        <v>57</v>
      </c>
    </row>
    <row r="106" customFormat="false" ht="23.85" hidden="false" customHeight="false" outlineLevel="0" collapsed="false">
      <c r="A106" s="7" t="s">
        <v>326</v>
      </c>
      <c r="B106" s="9" t="s">
        <v>11</v>
      </c>
      <c r="C106" s="9" t="s">
        <v>11</v>
      </c>
      <c r="D106" s="7" t="s">
        <v>312</v>
      </c>
      <c r="E106" s="9" t="s">
        <v>11</v>
      </c>
      <c r="F106" s="8" t="s">
        <v>233</v>
      </c>
      <c r="G106" s="7" t="s">
        <v>233</v>
      </c>
      <c r="H106" s="7" t="n">
        <v>0</v>
      </c>
      <c r="I106" s="7" t="s">
        <v>52</v>
      </c>
      <c r="J106" s="7" t="s">
        <v>53</v>
      </c>
      <c r="K106" s="3" t="s">
        <v>99</v>
      </c>
      <c r="L106" s="7" t="s">
        <v>233</v>
      </c>
      <c r="M106" s="7" t="s">
        <v>233</v>
      </c>
      <c r="N106" s="3" t="s">
        <v>55</v>
      </c>
      <c r="O106" s="7" t="s">
        <v>56</v>
      </c>
      <c r="P106" s="3" t="s">
        <v>57</v>
      </c>
      <c r="Q106" s="9" t="s">
        <v>11</v>
      </c>
      <c r="R106" s="4" t="s">
        <v>11</v>
      </c>
      <c r="S106" s="11"/>
      <c r="T106" s="12"/>
      <c r="U106" s="11"/>
      <c r="V106" s="11"/>
      <c r="W106" s="13" t="s">
        <v>100</v>
      </c>
      <c r="X106" s="13" t="n">
        <v>1</v>
      </c>
      <c r="Y106" s="13" t="s">
        <v>327</v>
      </c>
      <c r="Z106" s="13" t="s">
        <v>59</v>
      </c>
      <c r="AA106" s="5" t="s">
        <v>269</v>
      </c>
      <c r="AB106" s="5" t="s">
        <v>57</v>
      </c>
    </row>
    <row r="107" customFormat="false" ht="23.85" hidden="false" customHeight="false" outlineLevel="0" collapsed="false">
      <c r="A107" s="7" t="s">
        <v>328</v>
      </c>
      <c r="B107" s="9" t="s">
        <v>11</v>
      </c>
      <c r="C107" s="9" t="s">
        <v>11</v>
      </c>
      <c r="D107" s="7" t="s">
        <v>312</v>
      </c>
      <c r="E107" s="9" t="s">
        <v>11</v>
      </c>
      <c r="F107" s="8" t="s">
        <v>233</v>
      </c>
      <c r="G107" s="7" t="s">
        <v>233</v>
      </c>
      <c r="H107" s="7" t="n">
        <v>0</v>
      </c>
      <c r="I107" s="7" t="s">
        <v>52</v>
      </c>
      <c r="J107" s="7" t="s">
        <v>53</v>
      </c>
      <c r="K107" s="3" t="s">
        <v>54</v>
      </c>
      <c r="L107" s="7" t="s">
        <v>233</v>
      </c>
      <c r="M107" s="7" t="s">
        <v>233</v>
      </c>
      <c r="N107" s="3" t="s">
        <v>55</v>
      </c>
      <c r="O107" s="7" t="s">
        <v>56</v>
      </c>
      <c r="P107" s="3" t="s">
        <v>244</v>
      </c>
      <c r="Q107" s="9" t="s">
        <v>11</v>
      </c>
      <c r="R107" s="4" t="s">
        <v>11</v>
      </c>
      <c r="S107" s="11"/>
      <c r="T107" s="12"/>
      <c r="U107" s="11"/>
      <c r="V107" s="11"/>
      <c r="W107" s="13" t="s">
        <v>57</v>
      </c>
      <c r="X107" s="13" t="n">
        <v>0</v>
      </c>
      <c r="Y107" s="13" t="s">
        <v>329</v>
      </c>
      <c r="Z107" s="13" t="s">
        <v>59</v>
      </c>
      <c r="AA107" s="5" t="s">
        <v>57</v>
      </c>
      <c r="AB107" s="5" t="s">
        <v>57</v>
      </c>
    </row>
    <row r="108" customFormat="false" ht="23.85" hidden="false" customHeight="false" outlineLevel="0" collapsed="false">
      <c r="A108" s="7" t="s">
        <v>330</v>
      </c>
      <c r="B108" s="9" t="s">
        <v>11</v>
      </c>
      <c r="C108" s="9" t="s">
        <v>11</v>
      </c>
      <c r="D108" s="7" t="s">
        <v>312</v>
      </c>
      <c r="E108" s="9" t="s">
        <v>11</v>
      </c>
      <c r="F108" s="8" t="s">
        <v>233</v>
      </c>
      <c r="G108" s="7" t="s">
        <v>233</v>
      </c>
      <c r="H108" s="7" t="n">
        <v>0</v>
      </c>
      <c r="I108" s="7" t="s">
        <v>52</v>
      </c>
      <c r="J108" s="7" t="s">
        <v>53</v>
      </c>
      <c r="K108" s="3" t="s">
        <v>99</v>
      </c>
      <c r="L108" s="7" t="s">
        <v>233</v>
      </c>
      <c r="M108" s="7" t="s">
        <v>233</v>
      </c>
      <c r="N108" s="3" t="s">
        <v>55</v>
      </c>
      <c r="O108" s="7" t="s">
        <v>56</v>
      </c>
      <c r="P108" s="3" t="s">
        <v>57</v>
      </c>
      <c r="Q108" s="9" t="s">
        <v>11</v>
      </c>
      <c r="R108" s="4" t="s">
        <v>11</v>
      </c>
      <c r="S108" s="11"/>
      <c r="T108" s="12"/>
      <c r="U108" s="11"/>
      <c r="V108" s="11"/>
      <c r="W108" s="13" t="s">
        <v>331</v>
      </c>
      <c r="X108" s="13" t="n">
        <v>1</v>
      </c>
      <c r="Y108" s="13" t="s">
        <v>332</v>
      </c>
      <c r="Z108" s="13" t="s">
        <v>59</v>
      </c>
      <c r="AA108" s="5" t="s">
        <v>269</v>
      </c>
      <c r="AB108" s="5" t="s">
        <v>57</v>
      </c>
    </row>
    <row r="109" customFormat="false" ht="23.85" hidden="false" customHeight="false" outlineLevel="0" collapsed="false">
      <c r="A109" s="7" t="s">
        <v>333</v>
      </c>
      <c r="B109" s="9" t="s">
        <v>11</v>
      </c>
      <c r="C109" s="9" t="s">
        <v>11</v>
      </c>
      <c r="D109" s="7" t="s">
        <v>312</v>
      </c>
      <c r="E109" s="9" t="s">
        <v>11</v>
      </c>
      <c r="F109" s="8" t="s">
        <v>233</v>
      </c>
      <c r="G109" s="7" t="s">
        <v>233</v>
      </c>
      <c r="H109" s="7" t="n">
        <v>0</v>
      </c>
      <c r="I109" s="7" t="s">
        <v>52</v>
      </c>
      <c r="J109" s="7" t="s">
        <v>53</v>
      </c>
      <c r="K109" s="3" t="s">
        <v>54</v>
      </c>
      <c r="L109" s="7" t="s">
        <v>233</v>
      </c>
      <c r="M109" s="7" t="s">
        <v>233</v>
      </c>
      <c r="N109" s="3" t="s">
        <v>55</v>
      </c>
      <c r="O109" s="7" t="s">
        <v>56</v>
      </c>
      <c r="P109" s="3" t="s">
        <v>298</v>
      </c>
      <c r="Q109" s="9" t="s">
        <v>11</v>
      </c>
      <c r="R109" s="4" t="s">
        <v>11</v>
      </c>
      <c r="S109" s="11"/>
      <c r="T109" s="12"/>
      <c r="U109" s="11"/>
      <c r="V109" s="11"/>
      <c r="W109" s="13" t="s">
        <v>57</v>
      </c>
      <c r="X109" s="13" t="n">
        <v>4</v>
      </c>
      <c r="Y109" s="13" t="s">
        <v>334</v>
      </c>
      <c r="Z109" s="13" t="s">
        <v>59</v>
      </c>
      <c r="AA109" s="5" t="s">
        <v>325</v>
      </c>
      <c r="AB109" s="5" t="s">
        <v>57</v>
      </c>
    </row>
    <row r="110" customFormat="false" ht="23.85" hidden="false" customHeight="false" outlineLevel="0" collapsed="false">
      <c r="A110" s="7" t="s">
        <v>335</v>
      </c>
      <c r="B110" s="9" t="s">
        <v>11</v>
      </c>
      <c r="C110" s="9" t="s">
        <v>11</v>
      </c>
      <c r="D110" s="7" t="s">
        <v>312</v>
      </c>
      <c r="E110" s="9" t="s">
        <v>11</v>
      </c>
      <c r="F110" s="8" t="s">
        <v>233</v>
      </c>
      <c r="G110" s="7" t="s">
        <v>233</v>
      </c>
      <c r="H110" s="7" t="n">
        <v>0</v>
      </c>
      <c r="I110" s="7" t="s">
        <v>52</v>
      </c>
      <c r="J110" s="7" t="s">
        <v>53</v>
      </c>
      <c r="K110" s="3" t="s">
        <v>54</v>
      </c>
      <c r="L110" s="7" t="s">
        <v>233</v>
      </c>
      <c r="M110" s="7" t="s">
        <v>233</v>
      </c>
      <c r="N110" s="3" t="s">
        <v>55</v>
      </c>
      <c r="O110" s="7" t="s">
        <v>56</v>
      </c>
      <c r="P110" s="3" t="s">
        <v>237</v>
      </c>
      <c r="Q110" s="9" t="s">
        <v>11</v>
      </c>
      <c r="R110" s="4" t="s">
        <v>11</v>
      </c>
      <c r="S110" s="11"/>
      <c r="T110" s="12"/>
      <c r="U110" s="11"/>
      <c r="V110" s="11"/>
      <c r="W110" s="13" t="s">
        <v>57</v>
      </c>
      <c r="X110" s="13" t="n">
        <v>0</v>
      </c>
      <c r="Y110" s="13" t="s">
        <v>336</v>
      </c>
      <c r="Z110" s="13" t="s">
        <v>59</v>
      </c>
      <c r="AA110" s="5" t="s">
        <v>57</v>
      </c>
      <c r="AB110" s="5" t="s">
        <v>57</v>
      </c>
    </row>
    <row r="111" customFormat="false" ht="23.85" hidden="false" customHeight="false" outlineLevel="0" collapsed="false">
      <c r="A111" s="7" t="s">
        <v>337</v>
      </c>
      <c r="B111" s="9" t="s">
        <v>11</v>
      </c>
      <c r="C111" s="9" t="s">
        <v>11</v>
      </c>
      <c r="D111" s="7" t="s">
        <v>312</v>
      </c>
      <c r="E111" s="9" t="s">
        <v>11</v>
      </c>
      <c r="F111" s="8" t="s">
        <v>233</v>
      </c>
      <c r="G111" s="7" t="s">
        <v>233</v>
      </c>
      <c r="H111" s="7" t="n">
        <v>0</v>
      </c>
      <c r="I111" s="7" t="s">
        <v>52</v>
      </c>
      <c r="J111" s="7" t="s">
        <v>53</v>
      </c>
      <c r="K111" s="3" t="s">
        <v>54</v>
      </c>
      <c r="L111" s="7" t="s">
        <v>233</v>
      </c>
      <c r="M111" s="7" t="s">
        <v>233</v>
      </c>
      <c r="N111" s="3" t="s">
        <v>55</v>
      </c>
      <c r="O111" s="7" t="s">
        <v>56</v>
      </c>
      <c r="P111" s="3" t="s">
        <v>267</v>
      </c>
      <c r="Q111" s="9" t="s">
        <v>11</v>
      </c>
      <c r="R111" s="4" t="s">
        <v>11</v>
      </c>
      <c r="S111" s="11"/>
      <c r="T111" s="12"/>
      <c r="U111" s="11"/>
      <c r="V111" s="11"/>
      <c r="W111" s="13" t="s">
        <v>57</v>
      </c>
      <c r="X111" s="13" t="n">
        <v>4</v>
      </c>
      <c r="Y111" s="13" t="s">
        <v>334</v>
      </c>
      <c r="Z111" s="13" t="s">
        <v>59</v>
      </c>
      <c r="AA111" s="5" t="s">
        <v>325</v>
      </c>
      <c r="AB111" s="5" t="s">
        <v>57</v>
      </c>
    </row>
    <row r="112" customFormat="false" ht="23.85" hidden="false" customHeight="false" outlineLevel="0" collapsed="false">
      <c r="A112" s="7" t="s">
        <v>338</v>
      </c>
      <c r="B112" s="9" t="s">
        <v>11</v>
      </c>
      <c r="C112" s="9" t="s">
        <v>11</v>
      </c>
      <c r="D112" s="7" t="s">
        <v>312</v>
      </c>
      <c r="E112" s="9" t="s">
        <v>11</v>
      </c>
      <c r="F112" s="8" t="s">
        <v>233</v>
      </c>
      <c r="G112" s="7" t="s">
        <v>233</v>
      </c>
      <c r="H112" s="7" t="n">
        <v>0</v>
      </c>
      <c r="I112" s="7" t="s">
        <v>52</v>
      </c>
      <c r="J112" s="7" t="s">
        <v>53</v>
      </c>
      <c r="K112" s="3" t="s">
        <v>54</v>
      </c>
      <c r="L112" s="7" t="s">
        <v>233</v>
      </c>
      <c r="M112" s="7" t="s">
        <v>233</v>
      </c>
      <c r="N112" s="3" t="s">
        <v>55</v>
      </c>
      <c r="O112" s="7" t="s">
        <v>56</v>
      </c>
      <c r="P112" s="3" t="s">
        <v>237</v>
      </c>
      <c r="Q112" s="9" t="s">
        <v>11</v>
      </c>
      <c r="R112" s="4" t="s">
        <v>11</v>
      </c>
      <c r="S112" s="11"/>
      <c r="T112" s="12"/>
      <c r="U112" s="11"/>
      <c r="V112" s="11"/>
      <c r="W112" s="13" t="s">
        <v>57</v>
      </c>
      <c r="X112" s="13" t="n">
        <v>0</v>
      </c>
      <c r="Y112" s="13" t="s">
        <v>339</v>
      </c>
      <c r="Z112" s="13" t="s">
        <v>59</v>
      </c>
      <c r="AA112" s="5" t="s">
        <v>57</v>
      </c>
      <c r="AB112" s="5" t="s">
        <v>57</v>
      </c>
    </row>
    <row r="113" customFormat="false" ht="23.85" hidden="false" customHeight="false" outlineLevel="0" collapsed="false">
      <c r="A113" s="7" t="s">
        <v>340</v>
      </c>
      <c r="B113" s="9" t="s">
        <v>11</v>
      </c>
      <c r="C113" s="9" t="s">
        <v>11</v>
      </c>
      <c r="D113" s="7" t="s">
        <v>312</v>
      </c>
      <c r="E113" s="9" t="s">
        <v>11</v>
      </c>
      <c r="F113" s="8" t="s">
        <v>233</v>
      </c>
      <c r="G113" s="7" t="s">
        <v>233</v>
      </c>
      <c r="H113" s="7" t="n">
        <v>0</v>
      </c>
      <c r="I113" s="7" t="s">
        <v>52</v>
      </c>
      <c r="J113" s="7" t="s">
        <v>53</v>
      </c>
      <c r="K113" s="3" t="s">
        <v>99</v>
      </c>
      <c r="L113" s="7" t="s">
        <v>233</v>
      </c>
      <c r="M113" s="7" t="s">
        <v>233</v>
      </c>
      <c r="N113" s="3" t="s">
        <v>55</v>
      </c>
      <c r="O113" s="7" t="s">
        <v>56</v>
      </c>
      <c r="P113" s="3" t="s">
        <v>57</v>
      </c>
      <c r="Q113" s="9" t="s">
        <v>11</v>
      </c>
      <c r="R113" s="4" t="s">
        <v>11</v>
      </c>
      <c r="S113" s="11"/>
      <c r="T113" s="12"/>
      <c r="U113" s="11"/>
      <c r="V113" s="11"/>
      <c r="W113" s="13" t="s">
        <v>331</v>
      </c>
      <c r="X113" s="13" t="n">
        <v>1</v>
      </c>
      <c r="Y113" s="13" t="s">
        <v>341</v>
      </c>
      <c r="Z113" s="13" t="s">
        <v>59</v>
      </c>
      <c r="AA113" s="5" t="s">
        <v>269</v>
      </c>
      <c r="AB113" s="5" t="s">
        <v>57</v>
      </c>
    </row>
    <row r="114" customFormat="false" ht="23.85" hidden="false" customHeight="false" outlineLevel="0" collapsed="false">
      <c r="A114" s="7" t="s">
        <v>342</v>
      </c>
      <c r="B114" s="9" t="s">
        <v>11</v>
      </c>
      <c r="C114" s="9" t="s">
        <v>11</v>
      </c>
      <c r="D114" s="7" t="s">
        <v>312</v>
      </c>
      <c r="E114" s="9" t="s">
        <v>11</v>
      </c>
      <c r="F114" s="8" t="s">
        <v>233</v>
      </c>
      <c r="G114" s="7" t="s">
        <v>233</v>
      </c>
      <c r="H114" s="7" t="n">
        <v>0</v>
      </c>
      <c r="I114" s="7" t="s">
        <v>52</v>
      </c>
      <c r="J114" s="7" t="s">
        <v>53</v>
      </c>
      <c r="K114" s="3" t="s">
        <v>54</v>
      </c>
      <c r="L114" s="7" t="s">
        <v>233</v>
      </c>
      <c r="M114" s="7" t="s">
        <v>233</v>
      </c>
      <c r="N114" s="3" t="s">
        <v>55</v>
      </c>
      <c r="O114" s="7" t="s">
        <v>56</v>
      </c>
      <c r="P114" s="3" t="s">
        <v>298</v>
      </c>
      <c r="Q114" s="9" t="s">
        <v>11</v>
      </c>
      <c r="R114" s="4" t="s">
        <v>11</v>
      </c>
      <c r="S114" s="11"/>
      <c r="T114" s="12"/>
      <c r="U114" s="11"/>
      <c r="V114" s="11"/>
      <c r="W114" s="13" t="s">
        <v>57</v>
      </c>
      <c r="X114" s="13" t="n">
        <v>4</v>
      </c>
      <c r="Y114" s="13" t="s">
        <v>334</v>
      </c>
      <c r="Z114" s="13" t="s">
        <v>59</v>
      </c>
      <c r="AA114" s="5" t="s">
        <v>325</v>
      </c>
      <c r="AB114" s="5" t="s">
        <v>57</v>
      </c>
    </row>
    <row r="115" customFormat="false" ht="23.85" hidden="false" customHeight="false" outlineLevel="0" collapsed="false">
      <c r="A115" s="7" t="s">
        <v>343</v>
      </c>
      <c r="B115" s="9" t="s">
        <v>11</v>
      </c>
      <c r="C115" s="9" t="s">
        <v>11</v>
      </c>
      <c r="D115" s="7" t="s">
        <v>312</v>
      </c>
      <c r="E115" s="9" t="s">
        <v>11</v>
      </c>
      <c r="F115" s="8" t="s">
        <v>233</v>
      </c>
      <c r="G115" s="7" t="s">
        <v>233</v>
      </c>
      <c r="H115" s="7" t="n">
        <v>0</v>
      </c>
      <c r="I115" s="7" t="s">
        <v>52</v>
      </c>
      <c r="J115" s="7" t="s">
        <v>53</v>
      </c>
      <c r="K115" s="3" t="s">
        <v>99</v>
      </c>
      <c r="L115" s="7" t="s">
        <v>233</v>
      </c>
      <c r="M115" s="7" t="s">
        <v>233</v>
      </c>
      <c r="N115" s="3" t="s">
        <v>55</v>
      </c>
      <c r="O115" s="7" t="s">
        <v>56</v>
      </c>
      <c r="P115" s="3" t="s">
        <v>57</v>
      </c>
      <c r="Q115" s="9" t="s">
        <v>11</v>
      </c>
      <c r="R115" s="4" t="s">
        <v>11</v>
      </c>
      <c r="S115" s="11"/>
      <c r="T115" s="12"/>
      <c r="U115" s="11"/>
      <c r="V115" s="11"/>
      <c r="W115" s="13" t="s">
        <v>57</v>
      </c>
      <c r="X115" s="13" t="n">
        <v>4</v>
      </c>
      <c r="Y115" s="13" t="s">
        <v>324</v>
      </c>
      <c r="Z115" s="13" t="s">
        <v>59</v>
      </c>
      <c r="AA115" s="5" t="s">
        <v>325</v>
      </c>
      <c r="AB115" s="5" t="s">
        <v>57</v>
      </c>
    </row>
    <row r="116" customFormat="false" ht="23.85" hidden="false" customHeight="false" outlineLevel="0" collapsed="false">
      <c r="A116" s="7" t="s">
        <v>344</v>
      </c>
      <c r="B116" s="9" t="s">
        <v>11</v>
      </c>
      <c r="C116" s="9" t="s">
        <v>11</v>
      </c>
      <c r="D116" s="7" t="s">
        <v>312</v>
      </c>
      <c r="E116" s="9" t="s">
        <v>11</v>
      </c>
      <c r="F116" s="8" t="s">
        <v>233</v>
      </c>
      <c r="G116" s="7" t="s">
        <v>233</v>
      </c>
      <c r="H116" s="7" t="n">
        <v>0</v>
      </c>
      <c r="I116" s="7" t="s">
        <v>52</v>
      </c>
      <c r="J116" s="7" t="s">
        <v>53</v>
      </c>
      <c r="K116" s="3" t="s">
        <v>99</v>
      </c>
      <c r="L116" s="7" t="s">
        <v>233</v>
      </c>
      <c r="M116" s="7" t="s">
        <v>233</v>
      </c>
      <c r="N116" s="3" t="s">
        <v>55</v>
      </c>
      <c r="O116" s="7" t="s">
        <v>56</v>
      </c>
      <c r="P116" s="3" t="s">
        <v>57</v>
      </c>
      <c r="Q116" s="9" t="s">
        <v>11</v>
      </c>
      <c r="R116" s="4" t="s">
        <v>11</v>
      </c>
      <c r="S116" s="11"/>
      <c r="T116" s="12"/>
      <c r="U116" s="11"/>
      <c r="V116" s="11"/>
      <c r="W116" s="13" t="s">
        <v>57</v>
      </c>
      <c r="X116" s="13" t="n">
        <v>4</v>
      </c>
      <c r="Y116" s="13" t="s">
        <v>324</v>
      </c>
      <c r="Z116" s="13" t="s">
        <v>59</v>
      </c>
      <c r="AA116" s="5" t="s">
        <v>325</v>
      </c>
      <c r="AB116" s="5" t="s">
        <v>57</v>
      </c>
    </row>
    <row r="117" customFormat="false" ht="23.85" hidden="false" customHeight="false" outlineLevel="0" collapsed="false">
      <c r="A117" s="7" t="s">
        <v>345</v>
      </c>
      <c r="B117" s="9" t="s">
        <v>11</v>
      </c>
      <c r="C117" s="9" t="s">
        <v>11</v>
      </c>
      <c r="D117" s="7" t="s">
        <v>312</v>
      </c>
      <c r="E117" s="9" t="s">
        <v>11</v>
      </c>
      <c r="F117" s="8" t="s">
        <v>233</v>
      </c>
      <c r="G117" s="7" t="s">
        <v>233</v>
      </c>
      <c r="H117" s="7" t="n">
        <v>0</v>
      </c>
      <c r="I117" s="7" t="s">
        <v>52</v>
      </c>
      <c r="J117" s="7" t="s">
        <v>53</v>
      </c>
      <c r="K117" s="3" t="s">
        <v>54</v>
      </c>
      <c r="L117" s="7" t="s">
        <v>233</v>
      </c>
      <c r="M117" s="7" t="s">
        <v>233</v>
      </c>
      <c r="N117" s="3" t="s">
        <v>55</v>
      </c>
      <c r="O117" s="7" t="s">
        <v>56</v>
      </c>
      <c r="P117" s="3" t="s">
        <v>244</v>
      </c>
      <c r="Q117" s="9" t="s">
        <v>11</v>
      </c>
      <c r="R117" s="4" t="s">
        <v>11</v>
      </c>
      <c r="S117" s="11"/>
      <c r="T117" s="12"/>
      <c r="U117" s="11"/>
      <c r="V117" s="11"/>
      <c r="W117" s="13" t="s">
        <v>57</v>
      </c>
      <c r="X117" s="13" t="n">
        <v>0</v>
      </c>
      <c r="Y117" s="13" t="s">
        <v>346</v>
      </c>
      <c r="Z117" s="13" t="s">
        <v>59</v>
      </c>
      <c r="AA117" s="5" t="s">
        <v>57</v>
      </c>
      <c r="AB117" s="5" t="s">
        <v>57</v>
      </c>
    </row>
    <row r="118" customFormat="false" ht="23.85" hidden="false" customHeight="false" outlineLevel="0" collapsed="false">
      <c r="A118" s="7" t="s">
        <v>347</v>
      </c>
      <c r="B118" s="9" t="s">
        <v>11</v>
      </c>
      <c r="C118" s="9" t="s">
        <v>11</v>
      </c>
      <c r="D118" s="7" t="s">
        <v>312</v>
      </c>
      <c r="E118" s="9" t="s">
        <v>11</v>
      </c>
      <c r="F118" s="8" t="s">
        <v>233</v>
      </c>
      <c r="G118" s="7" t="s">
        <v>233</v>
      </c>
      <c r="H118" s="7" t="n">
        <v>0</v>
      </c>
      <c r="I118" s="7" t="s">
        <v>52</v>
      </c>
      <c r="J118" s="7" t="s">
        <v>53</v>
      </c>
      <c r="K118" s="3" t="s">
        <v>99</v>
      </c>
      <c r="L118" s="7" t="s">
        <v>233</v>
      </c>
      <c r="M118" s="7" t="s">
        <v>233</v>
      </c>
      <c r="N118" s="3" t="s">
        <v>55</v>
      </c>
      <c r="O118" s="7" t="s">
        <v>56</v>
      </c>
      <c r="P118" s="3" t="s">
        <v>57</v>
      </c>
      <c r="Q118" s="9" t="s">
        <v>11</v>
      </c>
      <c r="R118" s="4" t="s">
        <v>11</v>
      </c>
      <c r="S118" s="11"/>
      <c r="T118" s="12"/>
      <c r="U118" s="11"/>
      <c r="V118" s="11"/>
      <c r="W118" s="13" t="s">
        <v>331</v>
      </c>
      <c r="X118" s="13" t="n">
        <v>1</v>
      </c>
      <c r="Y118" s="13" t="s">
        <v>332</v>
      </c>
      <c r="Z118" s="13" t="s">
        <v>59</v>
      </c>
      <c r="AA118" s="5" t="s">
        <v>269</v>
      </c>
      <c r="AB118" s="5" t="s">
        <v>57</v>
      </c>
    </row>
    <row r="119" customFormat="false" ht="23.85" hidden="false" customHeight="false" outlineLevel="0" collapsed="false">
      <c r="A119" s="7" t="s">
        <v>348</v>
      </c>
      <c r="B119" s="9" t="s">
        <v>11</v>
      </c>
      <c r="C119" s="9" t="s">
        <v>11</v>
      </c>
      <c r="D119" s="7" t="s">
        <v>312</v>
      </c>
      <c r="E119" s="9" t="s">
        <v>11</v>
      </c>
      <c r="F119" s="8" t="s">
        <v>233</v>
      </c>
      <c r="G119" s="7" t="s">
        <v>233</v>
      </c>
      <c r="H119" s="7" t="n">
        <v>0</v>
      </c>
      <c r="I119" s="7" t="s">
        <v>52</v>
      </c>
      <c r="J119" s="7" t="s">
        <v>53</v>
      </c>
      <c r="K119" s="3" t="s">
        <v>99</v>
      </c>
      <c r="L119" s="7" t="s">
        <v>233</v>
      </c>
      <c r="M119" s="7" t="s">
        <v>233</v>
      </c>
      <c r="N119" s="3" t="s">
        <v>55</v>
      </c>
      <c r="O119" s="7" t="s">
        <v>56</v>
      </c>
      <c r="P119" s="3" t="s">
        <v>57</v>
      </c>
      <c r="Q119" s="9" t="s">
        <v>11</v>
      </c>
      <c r="R119" s="4" t="s">
        <v>11</v>
      </c>
      <c r="S119" s="11"/>
      <c r="T119" s="12"/>
      <c r="U119" s="11"/>
      <c r="V119" s="11"/>
      <c r="W119" s="13" t="s">
        <v>57</v>
      </c>
      <c r="X119" s="13" t="n">
        <v>4</v>
      </c>
      <c r="Y119" s="13" t="s">
        <v>324</v>
      </c>
      <c r="Z119" s="13" t="s">
        <v>59</v>
      </c>
      <c r="AA119" s="5" t="s">
        <v>325</v>
      </c>
      <c r="AB119" s="5" t="s">
        <v>57</v>
      </c>
    </row>
    <row r="120" customFormat="false" ht="23.85" hidden="false" customHeight="false" outlineLevel="0" collapsed="false">
      <c r="A120" s="7" t="s">
        <v>349</v>
      </c>
      <c r="B120" s="9" t="s">
        <v>11</v>
      </c>
      <c r="C120" s="9" t="s">
        <v>11</v>
      </c>
      <c r="D120" s="7" t="s">
        <v>312</v>
      </c>
      <c r="E120" s="9" t="s">
        <v>11</v>
      </c>
      <c r="F120" s="8" t="s">
        <v>233</v>
      </c>
      <c r="G120" s="7" t="s">
        <v>233</v>
      </c>
      <c r="H120" s="7" t="n">
        <v>0</v>
      </c>
      <c r="I120" s="7" t="s">
        <v>52</v>
      </c>
      <c r="J120" s="7" t="s">
        <v>53</v>
      </c>
      <c r="K120" s="3" t="s">
        <v>54</v>
      </c>
      <c r="L120" s="7" t="s">
        <v>233</v>
      </c>
      <c r="M120" s="7" t="s">
        <v>233</v>
      </c>
      <c r="N120" s="3" t="s">
        <v>55</v>
      </c>
      <c r="O120" s="7" t="s">
        <v>56</v>
      </c>
      <c r="P120" s="3" t="s">
        <v>267</v>
      </c>
      <c r="Q120" s="9" t="s">
        <v>11</v>
      </c>
      <c r="R120" s="4" t="s">
        <v>11</v>
      </c>
      <c r="S120" s="11"/>
      <c r="T120" s="12"/>
      <c r="U120" s="11"/>
      <c r="V120" s="11"/>
      <c r="W120" s="13" t="s">
        <v>57</v>
      </c>
      <c r="X120" s="13" t="n">
        <v>4</v>
      </c>
      <c r="Y120" s="13" t="s">
        <v>334</v>
      </c>
      <c r="Z120" s="13" t="s">
        <v>59</v>
      </c>
      <c r="AA120" s="5" t="s">
        <v>325</v>
      </c>
      <c r="AB120" s="5" t="s">
        <v>57</v>
      </c>
    </row>
    <row r="121" customFormat="false" ht="23.85" hidden="false" customHeight="false" outlineLevel="0" collapsed="false">
      <c r="A121" s="7" t="s">
        <v>350</v>
      </c>
      <c r="B121" s="9" t="s">
        <v>11</v>
      </c>
      <c r="C121" s="9" t="s">
        <v>11</v>
      </c>
      <c r="D121" s="7" t="s">
        <v>312</v>
      </c>
      <c r="E121" s="9" t="s">
        <v>11</v>
      </c>
      <c r="F121" s="8" t="s">
        <v>233</v>
      </c>
      <c r="G121" s="7" t="s">
        <v>233</v>
      </c>
      <c r="H121" s="7" t="n">
        <v>0</v>
      </c>
      <c r="I121" s="7" t="s">
        <v>52</v>
      </c>
      <c r="J121" s="7" t="s">
        <v>53</v>
      </c>
      <c r="K121" s="3" t="s">
        <v>99</v>
      </c>
      <c r="L121" s="7" t="s">
        <v>233</v>
      </c>
      <c r="M121" s="7" t="s">
        <v>233</v>
      </c>
      <c r="N121" s="3" t="s">
        <v>55</v>
      </c>
      <c r="O121" s="7" t="s">
        <v>56</v>
      </c>
      <c r="P121" s="3" t="s">
        <v>57</v>
      </c>
      <c r="Q121" s="9" t="s">
        <v>11</v>
      </c>
      <c r="R121" s="4" t="s">
        <v>11</v>
      </c>
      <c r="S121" s="11"/>
      <c r="T121" s="12"/>
      <c r="U121" s="11"/>
      <c r="V121" s="11"/>
      <c r="W121" s="13" t="s">
        <v>331</v>
      </c>
      <c r="X121" s="13" t="n">
        <v>1</v>
      </c>
      <c r="Y121" s="13" t="s">
        <v>341</v>
      </c>
      <c r="Z121" s="13" t="s">
        <v>59</v>
      </c>
      <c r="AA121" s="5" t="s">
        <v>269</v>
      </c>
      <c r="AB121" s="5" t="s">
        <v>57</v>
      </c>
    </row>
    <row r="122" customFormat="false" ht="23.85" hidden="false" customHeight="false" outlineLevel="0" collapsed="false">
      <c r="A122" s="7" t="s">
        <v>351</v>
      </c>
      <c r="B122" s="9" t="s">
        <v>11</v>
      </c>
      <c r="C122" s="9" t="s">
        <v>11</v>
      </c>
      <c r="D122" s="7" t="s">
        <v>312</v>
      </c>
      <c r="E122" s="9" t="s">
        <v>11</v>
      </c>
      <c r="F122" s="8" t="s">
        <v>233</v>
      </c>
      <c r="G122" s="7" t="s">
        <v>233</v>
      </c>
      <c r="H122" s="7" t="n">
        <v>0</v>
      </c>
      <c r="I122" s="7" t="s">
        <v>52</v>
      </c>
      <c r="J122" s="7" t="s">
        <v>53</v>
      </c>
      <c r="K122" s="3" t="s">
        <v>99</v>
      </c>
      <c r="L122" s="7" t="s">
        <v>233</v>
      </c>
      <c r="M122" s="7" t="s">
        <v>233</v>
      </c>
      <c r="N122" s="3" t="s">
        <v>55</v>
      </c>
      <c r="O122" s="7" t="s">
        <v>56</v>
      </c>
      <c r="P122" s="3" t="s">
        <v>57</v>
      </c>
      <c r="Q122" s="9" t="s">
        <v>11</v>
      </c>
      <c r="R122" s="4" t="s">
        <v>11</v>
      </c>
      <c r="S122" s="11"/>
      <c r="T122" s="12"/>
      <c r="U122" s="11"/>
      <c r="V122" s="11"/>
      <c r="W122" s="13" t="s">
        <v>57</v>
      </c>
      <c r="X122" s="13" t="n">
        <v>4</v>
      </c>
      <c r="Y122" s="13" t="s">
        <v>324</v>
      </c>
      <c r="Z122" s="13" t="s">
        <v>59</v>
      </c>
      <c r="AA122" s="5" t="s">
        <v>325</v>
      </c>
      <c r="AB122" s="5" t="s">
        <v>57</v>
      </c>
    </row>
    <row r="123" customFormat="false" ht="23.85" hidden="false" customHeight="false" outlineLevel="0" collapsed="false">
      <c r="A123" s="7" t="s">
        <v>352</v>
      </c>
      <c r="B123" s="9" t="s">
        <v>11</v>
      </c>
      <c r="C123" s="9" t="s">
        <v>11</v>
      </c>
      <c r="D123" s="7" t="s">
        <v>312</v>
      </c>
      <c r="E123" s="9" t="s">
        <v>11</v>
      </c>
      <c r="F123" s="8" t="s">
        <v>233</v>
      </c>
      <c r="G123" s="7" t="s">
        <v>233</v>
      </c>
      <c r="H123" s="7" t="n">
        <v>0</v>
      </c>
      <c r="I123" s="7" t="s">
        <v>52</v>
      </c>
      <c r="J123" s="7" t="s">
        <v>53</v>
      </c>
      <c r="K123" s="3" t="s">
        <v>54</v>
      </c>
      <c r="L123" s="7" t="s">
        <v>233</v>
      </c>
      <c r="M123" s="7" t="s">
        <v>233</v>
      </c>
      <c r="N123" s="3" t="s">
        <v>55</v>
      </c>
      <c r="O123" s="7" t="s">
        <v>56</v>
      </c>
      <c r="P123" s="3" t="s">
        <v>251</v>
      </c>
      <c r="Q123" s="9" t="s">
        <v>11</v>
      </c>
      <c r="R123" s="4" t="s">
        <v>11</v>
      </c>
      <c r="S123" s="11"/>
      <c r="T123" s="12"/>
      <c r="U123" s="11"/>
      <c r="V123" s="11"/>
      <c r="W123" s="13" t="s">
        <v>57</v>
      </c>
      <c r="X123" s="13" t="n">
        <v>0</v>
      </c>
      <c r="Y123" s="13" t="s">
        <v>353</v>
      </c>
      <c r="Z123" s="13" t="s">
        <v>59</v>
      </c>
      <c r="AA123" s="5" t="s">
        <v>57</v>
      </c>
      <c r="AB123" s="5" t="s">
        <v>57</v>
      </c>
    </row>
    <row r="124" customFormat="false" ht="23.85" hidden="false" customHeight="false" outlineLevel="0" collapsed="false">
      <c r="A124" s="7" t="s">
        <v>354</v>
      </c>
      <c r="B124" s="9" t="s">
        <v>11</v>
      </c>
      <c r="C124" s="9" t="s">
        <v>11</v>
      </c>
      <c r="D124" s="7" t="s">
        <v>312</v>
      </c>
      <c r="E124" s="9" t="s">
        <v>11</v>
      </c>
      <c r="F124" s="8" t="s">
        <v>233</v>
      </c>
      <c r="G124" s="7" t="s">
        <v>233</v>
      </c>
      <c r="H124" s="7" t="n">
        <v>0</v>
      </c>
      <c r="I124" s="7" t="s">
        <v>52</v>
      </c>
      <c r="J124" s="7" t="s">
        <v>53</v>
      </c>
      <c r="K124" s="3" t="s">
        <v>99</v>
      </c>
      <c r="L124" s="7" t="s">
        <v>233</v>
      </c>
      <c r="M124" s="7" t="s">
        <v>233</v>
      </c>
      <c r="N124" s="3" t="s">
        <v>55</v>
      </c>
      <c r="O124" s="7" t="s">
        <v>56</v>
      </c>
      <c r="P124" s="3" t="s">
        <v>57</v>
      </c>
      <c r="Q124" s="9" t="s">
        <v>11</v>
      </c>
      <c r="R124" s="4" t="s">
        <v>11</v>
      </c>
      <c r="S124" s="11"/>
      <c r="T124" s="12"/>
      <c r="U124" s="11"/>
      <c r="V124" s="11"/>
      <c r="W124" s="13" t="s">
        <v>100</v>
      </c>
      <c r="X124" s="13" t="n">
        <v>1</v>
      </c>
      <c r="Y124" s="13" t="s">
        <v>327</v>
      </c>
      <c r="Z124" s="13" t="s">
        <v>59</v>
      </c>
      <c r="AA124" s="5" t="s">
        <v>269</v>
      </c>
      <c r="AB124" s="5" t="s">
        <v>57</v>
      </c>
    </row>
    <row r="125" customFormat="false" ht="23.85" hidden="false" customHeight="false" outlineLevel="0" collapsed="false">
      <c r="A125" s="7" t="s">
        <v>355</v>
      </c>
      <c r="B125" s="9" t="s">
        <v>11</v>
      </c>
      <c r="C125" s="9" t="s">
        <v>11</v>
      </c>
      <c r="D125" s="7" t="s">
        <v>312</v>
      </c>
      <c r="E125" s="9" t="s">
        <v>11</v>
      </c>
      <c r="F125" s="8" t="s">
        <v>233</v>
      </c>
      <c r="G125" s="7" t="s">
        <v>233</v>
      </c>
      <c r="H125" s="7" t="n">
        <v>0</v>
      </c>
      <c r="I125" s="7" t="s">
        <v>52</v>
      </c>
      <c r="J125" s="7" t="s">
        <v>53</v>
      </c>
      <c r="K125" s="3" t="s">
        <v>54</v>
      </c>
      <c r="L125" s="7" t="s">
        <v>233</v>
      </c>
      <c r="M125" s="7" t="s">
        <v>233</v>
      </c>
      <c r="N125" s="3" t="s">
        <v>55</v>
      </c>
      <c r="O125" s="7" t="s">
        <v>56</v>
      </c>
      <c r="P125" s="3" t="s">
        <v>267</v>
      </c>
      <c r="Q125" s="9" t="s">
        <v>11</v>
      </c>
      <c r="R125" s="4" t="s">
        <v>11</v>
      </c>
      <c r="S125" s="11"/>
      <c r="T125" s="12"/>
      <c r="U125" s="11"/>
      <c r="V125" s="11"/>
      <c r="W125" s="13" t="s">
        <v>57</v>
      </c>
      <c r="X125" s="13" t="n">
        <v>4</v>
      </c>
      <c r="Y125" s="13" t="s">
        <v>334</v>
      </c>
      <c r="Z125" s="13" t="s">
        <v>59</v>
      </c>
      <c r="AA125" s="5" t="s">
        <v>325</v>
      </c>
      <c r="AB125" s="5" t="s">
        <v>57</v>
      </c>
    </row>
    <row r="126" customFormat="false" ht="35.05" hidden="false" customHeight="false" outlineLevel="0" collapsed="false">
      <c r="A126" s="7" t="s">
        <v>356</v>
      </c>
      <c r="B126" s="7" t="s">
        <v>357</v>
      </c>
      <c r="C126" s="7" t="s">
        <v>358</v>
      </c>
      <c r="D126" s="7" t="s">
        <v>359</v>
      </c>
      <c r="E126" s="7" t="n">
        <v>18</v>
      </c>
      <c r="F126" s="8" t="n">
        <v>0</v>
      </c>
      <c r="G126" s="7" t="s">
        <v>233</v>
      </c>
      <c r="H126" s="7" t="n">
        <v>0</v>
      </c>
      <c r="I126" s="7" t="s">
        <v>52</v>
      </c>
      <c r="J126" s="7" t="s">
        <v>53</v>
      </c>
      <c r="K126" s="3" t="s">
        <v>54</v>
      </c>
      <c r="L126" s="7" t="s">
        <v>233</v>
      </c>
      <c r="M126" s="7" t="s">
        <v>233</v>
      </c>
      <c r="N126" s="3" t="s">
        <v>55</v>
      </c>
      <c r="O126" s="7" t="s">
        <v>56</v>
      </c>
      <c r="P126" s="3" t="s">
        <v>360</v>
      </c>
      <c r="Q126" s="9" t="s">
        <v>11</v>
      </c>
      <c r="R126" s="4" t="s">
        <v>11</v>
      </c>
      <c r="S126" s="11"/>
      <c r="T126" s="12"/>
      <c r="U126" s="11"/>
      <c r="V126" s="11"/>
      <c r="W126" s="13" t="s">
        <v>57</v>
      </c>
      <c r="X126" s="13" t="n">
        <v>17</v>
      </c>
      <c r="Y126" s="13" t="s">
        <v>361</v>
      </c>
      <c r="Z126" s="13" t="s">
        <v>59</v>
      </c>
      <c r="AA126" s="5" t="s">
        <v>362</v>
      </c>
      <c r="AB126" s="5" t="s">
        <v>57</v>
      </c>
    </row>
    <row r="127" customFormat="false" ht="35.05" hidden="false" customHeight="false" outlineLevel="0" collapsed="false">
      <c r="A127" s="7" t="s">
        <v>363</v>
      </c>
      <c r="B127" s="7" t="s">
        <v>357</v>
      </c>
      <c r="C127" s="7" t="s">
        <v>358</v>
      </c>
      <c r="D127" s="7" t="s">
        <v>359</v>
      </c>
      <c r="E127" s="7" t="n">
        <v>18</v>
      </c>
      <c r="F127" s="8" t="n">
        <v>0</v>
      </c>
      <c r="G127" s="7" t="s">
        <v>233</v>
      </c>
      <c r="H127" s="7" t="n">
        <v>0</v>
      </c>
      <c r="I127" s="7" t="s">
        <v>52</v>
      </c>
      <c r="J127" s="7" t="s">
        <v>53</v>
      </c>
      <c r="K127" s="3" t="s">
        <v>54</v>
      </c>
      <c r="L127" s="7" t="s">
        <v>233</v>
      </c>
      <c r="M127" s="7" t="s">
        <v>233</v>
      </c>
      <c r="N127" s="3" t="s">
        <v>55</v>
      </c>
      <c r="O127" s="7" t="s">
        <v>56</v>
      </c>
      <c r="P127" s="3" t="s">
        <v>364</v>
      </c>
      <c r="Q127" s="9" t="s">
        <v>11</v>
      </c>
      <c r="R127" s="4" t="s">
        <v>11</v>
      </c>
      <c r="S127" s="11"/>
      <c r="T127" s="12"/>
      <c r="U127" s="11"/>
      <c r="V127" s="11"/>
      <c r="W127" s="13" t="s">
        <v>57</v>
      </c>
      <c r="X127" s="13" t="n">
        <v>17</v>
      </c>
      <c r="Y127" s="13" t="s">
        <v>361</v>
      </c>
      <c r="Z127" s="13" t="s">
        <v>59</v>
      </c>
      <c r="AA127" s="5" t="s">
        <v>362</v>
      </c>
      <c r="AB127" s="5" t="s">
        <v>57</v>
      </c>
    </row>
    <row r="128" customFormat="false" ht="35.05" hidden="false" customHeight="false" outlineLevel="0" collapsed="false">
      <c r="A128" s="7" t="s">
        <v>365</v>
      </c>
      <c r="B128" s="7" t="s">
        <v>357</v>
      </c>
      <c r="C128" s="7" t="s">
        <v>358</v>
      </c>
      <c r="D128" s="7" t="s">
        <v>359</v>
      </c>
      <c r="E128" s="7" t="n">
        <v>18</v>
      </c>
      <c r="F128" s="8" t="n">
        <v>0</v>
      </c>
      <c r="G128" s="7" t="s">
        <v>233</v>
      </c>
      <c r="H128" s="7" t="n">
        <v>0</v>
      </c>
      <c r="I128" s="7" t="s">
        <v>52</v>
      </c>
      <c r="J128" s="7" t="s">
        <v>53</v>
      </c>
      <c r="K128" s="3" t="s">
        <v>54</v>
      </c>
      <c r="L128" s="7" t="s">
        <v>233</v>
      </c>
      <c r="M128" s="7" t="s">
        <v>233</v>
      </c>
      <c r="N128" s="3" t="s">
        <v>55</v>
      </c>
      <c r="O128" s="7" t="s">
        <v>56</v>
      </c>
      <c r="P128" s="3" t="s">
        <v>366</v>
      </c>
      <c r="Q128" s="9" t="s">
        <v>11</v>
      </c>
      <c r="R128" s="4" t="s">
        <v>11</v>
      </c>
      <c r="S128" s="11"/>
      <c r="T128" s="12"/>
      <c r="U128" s="11"/>
      <c r="V128" s="11"/>
      <c r="W128" s="13" t="s">
        <v>57</v>
      </c>
      <c r="X128" s="13" t="n">
        <v>17</v>
      </c>
      <c r="Y128" s="13" t="s">
        <v>361</v>
      </c>
      <c r="Z128" s="13" t="s">
        <v>59</v>
      </c>
      <c r="AA128" s="5" t="s">
        <v>362</v>
      </c>
      <c r="AB128" s="5" t="s">
        <v>57</v>
      </c>
    </row>
    <row r="129" customFormat="false" ht="35.05" hidden="false" customHeight="false" outlineLevel="0" collapsed="false">
      <c r="A129" s="7" t="s">
        <v>367</v>
      </c>
      <c r="B129" s="7" t="s">
        <v>357</v>
      </c>
      <c r="C129" s="7" t="s">
        <v>358</v>
      </c>
      <c r="D129" s="7" t="s">
        <v>359</v>
      </c>
      <c r="E129" s="7" t="n">
        <v>18</v>
      </c>
      <c r="F129" s="8" t="n">
        <v>0</v>
      </c>
      <c r="G129" s="7" t="s">
        <v>233</v>
      </c>
      <c r="H129" s="7" t="n">
        <v>0</v>
      </c>
      <c r="I129" s="7" t="s">
        <v>52</v>
      </c>
      <c r="J129" s="7" t="s">
        <v>53</v>
      </c>
      <c r="K129" s="3" t="s">
        <v>54</v>
      </c>
      <c r="L129" s="7" t="s">
        <v>233</v>
      </c>
      <c r="M129" s="7" t="s">
        <v>233</v>
      </c>
      <c r="N129" s="3" t="s">
        <v>55</v>
      </c>
      <c r="O129" s="7" t="s">
        <v>56</v>
      </c>
      <c r="P129" s="3" t="s">
        <v>368</v>
      </c>
      <c r="Q129" s="9" t="s">
        <v>11</v>
      </c>
      <c r="R129" s="4" t="s">
        <v>11</v>
      </c>
      <c r="S129" s="11"/>
      <c r="T129" s="12"/>
      <c r="U129" s="11"/>
      <c r="V129" s="11"/>
      <c r="W129" s="13" t="s">
        <v>57</v>
      </c>
      <c r="X129" s="13" t="n">
        <v>17</v>
      </c>
      <c r="Y129" s="13" t="s">
        <v>361</v>
      </c>
      <c r="Z129" s="13" t="s">
        <v>59</v>
      </c>
      <c r="AA129" s="5" t="s">
        <v>362</v>
      </c>
      <c r="AB129" s="5" t="s">
        <v>57</v>
      </c>
    </row>
    <row r="130" customFormat="false" ht="35.05" hidden="false" customHeight="false" outlineLevel="0" collapsed="false">
      <c r="A130" s="7" t="s">
        <v>369</v>
      </c>
      <c r="B130" s="7" t="s">
        <v>357</v>
      </c>
      <c r="C130" s="7" t="s">
        <v>358</v>
      </c>
      <c r="D130" s="7" t="s">
        <v>359</v>
      </c>
      <c r="E130" s="7" t="n">
        <v>18</v>
      </c>
      <c r="F130" s="8" t="n">
        <v>0</v>
      </c>
      <c r="G130" s="7" t="s">
        <v>233</v>
      </c>
      <c r="H130" s="7" t="n">
        <v>0</v>
      </c>
      <c r="I130" s="7" t="s">
        <v>52</v>
      </c>
      <c r="J130" s="7" t="s">
        <v>53</v>
      </c>
      <c r="K130" s="3" t="s">
        <v>54</v>
      </c>
      <c r="L130" s="7" t="s">
        <v>233</v>
      </c>
      <c r="M130" s="7" t="s">
        <v>233</v>
      </c>
      <c r="N130" s="3" t="s">
        <v>55</v>
      </c>
      <c r="O130" s="7" t="s">
        <v>56</v>
      </c>
      <c r="P130" s="3" t="s">
        <v>370</v>
      </c>
      <c r="Q130" s="9" t="s">
        <v>11</v>
      </c>
      <c r="R130" s="4" t="s">
        <v>11</v>
      </c>
      <c r="S130" s="11"/>
      <c r="T130" s="12"/>
      <c r="U130" s="11"/>
      <c r="V130" s="11"/>
      <c r="W130" s="13" t="s">
        <v>57</v>
      </c>
      <c r="X130" s="13" t="n">
        <v>17</v>
      </c>
      <c r="Y130" s="13" t="s">
        <v>361</v>
      </c>
      <c r="Z130" s="13" t="s">
        <v>59</v>
      </c>
      <c r="AA130" s="5" t="s">
        <v>362</v>
      </c>
      <c r="AB130" s="5" t="s">
        <v>57</v>
      </c>
    </row>
    <row r="131" customFormat="false" ht="35.05" hidden="false" customHeight="false" outlineLevel="0" collapsed="false">
      <c r="A131" s="7" t="s">
        <v>371</v>
      </c>
      <c r="B131" s="7" t="s">
        <v>357</v>
      </c>
      <c r="C131" s="7" t="s">
        <v>358</v>
      </c>
      <c r="D131" s="7" t="s">
        <v>359</v>
      </c>
      <c r="E131" s="7" t="n">
        <v>18</v>
      </c>
      <c r="F131" s="8" t="n">
        <v>0</v>
      </c>
      <c r="G131" s="7" t="s">
        <v>233</v>
      </c>
      <c r="H131" s="7" t="n">
        <v>0</v>
      </c>
      <c r="I131" s="7" t="s">
        <v>52</v>
      </c>
      <c r="J131" s="7" t="s">
        <v>53</v>
      </c>
      <c r="K131" s="3" t="s">
        <v>54</v>
      </c>
      <c r="L131" s="7" t="s">
        <v>233</v>
      </c>
      <c r="M131" s="7" t="s">
        <v>233</v>
      </c>
      <c r="N131" s="3" t="s">
        <v>55</v>
      </c>
      <c r="O131" s="7" t="s">
        <v>56</v>
      </c>
      <c r="P131" s="3" t="s">
        <v>372</v>
      </c>
      <c r="Q131" s="9" t="s">
        <v>11</v>
      </c>
      <c r="R131" s="4" t="s">
        <v>11</v>
      </c>
      <c r="S131" s="11"/>
      <c r="T131" s="12"/>
      <c r="U131" s="11"/>
      <c r="V131" s="11"/>
      <c r="W131" s="13" t="s">
        <v>57</v>
      </c>
      <c r="X131" s="13" t="n">
        <v>17</v>
      </c>
      <c r="Y131" s="13" t="s">
        <v>361</v>
      </c>
      <c r="Z131" s="13" t="s">
        <v>59</v>
      </c>
      <c r="AA131" s="5" t="s">
        <v>362</v>
      </c>
      <c r="AB131" s="5" t="s">
        <v>57</v>
      </c>
    </row>
    <row r="132" customFormat="false" ht="35.05" hidden="false" customHeight="false" outlineLevel="0" collapsed="false">
      <c r="A132" s="7" t="s">
        <v>373</v>
      </c>
      <c r="B132" s="7" t="s">
        <v>357</v>
      </c>
      <c r="C132" s="7" t="s">
        <v>358</v>
      </c>
      <c r="D132" s="7" t="s">
        <v>359</v>
      </c>
      <c r="E132" s="7" t="n">
        <v>18</v>
      </c>
      <c r="F132" s="8" t="n">
        <v>0</v>
      </c>
      <c r="G132" s="7" t="s">
        <v>233</v>
      </c>
      <c r="H132" s="7" t="n">
        <v>0</v>
      </c>
      <c r="I132" s="7" t="s">
        <v>52</v>
      </c>
      <c r="J132" s="7" t="s">
        <v>53</v>
      </c>
      <c r="K132" s="3" t="s">
        <v>54</v>
      </c>
      <c r="L132" s="7" t="s">
        <v>233</v>
      </c>
      <c r="M132" s="7" t="s">
        <v>233</v>
      </c>
      <c r="N132" s="3" t="s">
        <v>55</v>
      </c>
      <c r="O132" s="7" t="s">
        <v>56</v>
      </c>
      <c r="P132" s="3" t="s">
        <v>374</v>
      </c>
      <c r="Q132" s="9" t="s">
        <v>11</v>
      </c>
      <c r="R132" s="4" t="s">
        <v>11</v>
      </c>
      <c r="S132" s="11"/>
      <c r="T132" s="12"/>
      <c r="U132" s="11"/>
      <c r="V132" s="11"/>
      <c r="W132" s="13" t="s">
        <v>57</v>
      </c>
      <c r="X132" s="13" t="n">
        <v>17</v>
      </c>
      <c r="Y132" s="13" t="s">
        <v>361</v>
      </c>
      <c r="Z132" s="13" t="s">
        <v>59</v>
      </c>
      <c r="AA132" s="5" t="s">
        <v>362</v>
      </c>
      <c r="AB132" s="5" t="s">
        <v>57</v>
      </c>
    </row>
    <row r="133" customFormat="false" ht="35.05" hidden="false" customHeight="false" outlineLevel="0" collapsed="false">
      <c r="A133" s="7" t="s">
        <v>375</v>
      </c>
      <c r="B133" s="7" t="s">
        <v>357</v>
      </c>
      <c r="C133" s="7" t="s">
        <v>358</v>
      </c>
      <c r="D133" s="7" t="s">
        <v>359</v>
      </c>
      <c r="E133" s="7" t="n">
        <v>18</v>
      </c>
      <c r="F133" s="8" t="n">
        <v>0</v>
      </c>
      <c r="G133" s="7" t="s">
        <v>233</v>
      </c>
      <c r="H133" s="7" t="n">
        <v>0</v>
      </c>
      <c r="I133" s="7" t="s">
        <v>52</v>
      </c>
      <c r="J133" s="7" t="s">
        <v>53</v>
      </c>
      <c r="K133" s="3" t="s">
        <v>54</v>
      </c>
      <c r="L133" s="7" t="s">
        <v>233</v>
      </c>
      <c r="M133" s="7" t="s">
        <v>233</v>
      </c>
      <c r="N133" s="3" t="s">
        <v>55</v>
      </c>
      <c r="O133" s="7" t="s">
        <v>56</v>
      </c>
      <c r="P133" s="3" t="s">
        <v>376</v>
      </c>
      <c r="Q133" s="9" t="s">
        <v>11</v>
      </c>
      <c r="R133" s="4" t="s">
        <v>11</v>
      </c>
      <c r="S133" s="11"/>
      <c r="T133" s="12"/>
      <c r="U133" s="11"/>
      <c r="V133" s="11"/>
      <c r="W133" s="13" t="s">
        <v>57</v>
      </c>
      <c r="X133" s="13" t="n">
        <v>17</v>
      </c>
      <c r="Y133" s="13" t="s">
        <v>361</v>
      </c>
      <c r="Z133" s="13" t="s">
        <v>59</v>
      </c>
      <c r="AA133" s="5" t="s">
        <v>362</v>
      </c>
      <c r="AB133" s="5" t="s">
        <v>57</v>
      </c>
    </row>
    <row r="134" customFormat="false" ht="35.05" hidden="false" customHeight="false" outlineLevel="0" collapsed="false">
      <c r="A134" s="7" t="s">
        <v>377</v>
      </c>
      <c r="B134" s="7" t="s">
        <v>357</v>
      </c>
      <c r="C134" s="7" t="s">
        <v>358</v>
      </c>
      <c r="D134" s="7" t="s">
        <v>359</v>
      </c>
      <c r="E134" s="7" t="n">
        <v>18</v>
      </c>
      <c r="F134" s="8" t="n">
        <v>0</v>
      </c>
      <c r="G134" s="7" t="s">
        <v>233</v>
      </c>
      <c r="H134" s="7" t="n">
        <v>0</v>
      </c>
      <c r="I134" s="7" t="s">
        <v>52</v>
      </c>
      <c r="J134" s="7" t="s">
        <v>53</v>
      </c>
      <c r="K134" s="3" t="s">
        <v>54</v>
      </c>
      <c r="L134" s="7" t="s">
        <v>233</v>
      </c>
      <c r="M134" s="7" t="s">
        <v>233</v>
      </c>
      <c r="N134" s="3" t="s">
        <v>55</v>
      </c>
      <c r="O134" s="7" t="s">
        <v>56</v>
      </c>
      <c r="P134" s="3" t="s">
        <v>378</v>
      </c>
      <c r="Q134" s="9" t="s">
        <v>11</v>
      </c>
      <c r="R134" s="4" t="s">
        <v>11</v>
      </c>
      <c r="S134" s="11"/>
      <c r="T134" s="12"/>
      <c r="U134" s="11"/>
      <c r="V134" s="11"/>
      <c r="W134" s="13" t="s">
        <v>57</v>
      </c>
      <c r="X134" s="13" t="n">
        <v>17</v>
      </c>
      <c r="Y134" s="13" t="s">
        <v>361</v>
      </c>
      <c r="Z134" s="13" t="s">
        <v>59</v>
      </c>
      <c r="AA134" s="5" t="s">
        <v>362</v>
      </c>
      <c r="AB134" s="5" t="s">
        <v>57</v>
      </c>
    </row>
    <row r="135" customFormat="false" ht="35.05" hidden="false" customHeight="false" outlineLevel="0" collapsed="false">
      <c r="A135" s="7" t="s">
        <v>379</v>
      </c>
      <c r="B135" s="7" t="s">
        <v>357</v>
      </c>
      <c r="C135" s="7" t="s">
        <v>358</v>
      </c>
      <c r="D135" s="7" t="s">
        <v>359</v>
      </c>
      <c r="E135" s="7" t="n">
        <v>18</v>
      </c>
      <c r="F135" s="8" t="n">
        <v>0</v>
      </c>
      <c r="G135" s="7" t="s">
        <v>233</v>
      </c>
      <c r="H135" s="7" t="n">
        <v>0</v>
      </c>
      <c r="I135" s="7" t="s">
        <v>52</v>
      </c>
      <c r="J135" s="7" t="s">
        <v>53</v>
      </c>
      <c r="K135" s="3" t="s">
        <v>54</v>
      </c>
      <c r="L135" s="7" t="s">
        <v>233</v>
      </c>
      <c r="M135" s="7" t="s">
        <v>233</v>
      </c>
      <c r="N135" s="3" t="s">
        <v>55</v>
      </c>
      <c r="O135" s="7" t="s">
        <v>56</v>
      </c>
      <c r="P135" s="3" t="s">
        <v>380</v>
      </c>
      <c r="Q135" s="9" t="s">
        <v>11</v>
      </c>
      <c r="R135" s="4" t="s">
        <v>11</v>
      </c>
      <c r="S135" s="11"/>
      <c r="T135" s="12"/>
      <c r="U135" s="11"/>
      <c r="V135" s="11"/>
      <c r="W135" s="13" t="s">
        <v>57</v>
      </c>
      <c r="X135" s="13" t="n">
        <v>17</v>
      </c>
      <c r="Y135" s="13" t="s">
        <v>361</v>
      </c>
      <c r="Z135" s="13" t="s">
        <v>59</v>
      </c>
      <c r="AA135" s="5" t="s">
        <v>362</v>
      </c>
      <c r="AB135" s="5" t="s">
        <v>57</v>
      </c>
    </row>
    <row r="136" customFormat="false" ht="35.05" hidden="false" customHeight="false" outlineLevel="0" collapsed="false">
      <c r="A136" s="7" t="s">
        <v>381</v>
      </c>
      <c r="B136" s="7" t="s">
        <v>357</v>
      </c>
      <c r="C136" s="7" t="s">
        <v>358</v>
      </c>
      <c r="D136" s="7" t="s">
        <v>359</v>
      </c>
      <c r="E136" s="7" t="n">
        <v>18</v>
      </c>
      <c r="F136" s="8" t="n">
        <v>0</v>
      </c>
      <c r="G136" s="7" t="s">
        <v>233</v>
      </c>
      <c r="H136" s="7" t="n">
        <v>0</v>
      </c>
      <c r="I136" s="7" t="s">
        <v>52</v>
      </c>
      <c r="J136" s="7" t="s">
        <v>53</v>
      </c>
      <c r="K136" s="3" t="s">
        <v>54</v>
      </c>
      <c r="L136" s="7" t="s">
        <v>233</v>
      </c>
      <c r="M136" s="7" t="s">
        <v>233</v>
      </c>
      <c r="N136" s="3" t="s">
        <v>55</v>
      </c>
      <c r="O136" s="7" t="s">
        <v>56</v>
      </c>
      <c r="P136" s="3" t="s">
        <v>382</v>
      </c>
      <c r="Q136" s="9" t="s">
        <v>11</v>
      </c>
      <c r="R136" s="4" t="s">
        <v>11</v>
      </c>
      <c r="S136" s="11"/>
      <c r="T136" s="12"/>
      <c r="U136" s="11"/>
      <c r="V136" s="11"/>
      <c r="W136" s="13" t="s">
        <v>57</v>
      </c>
      <c r="X136" s="13" t="n">
        <v>17</v>
      </c>
      <c r="Y136" s="13" t="s">
        <v>361</v>
      </c>
      <c r="Z136" s="13" t="s">
        <v>59</v>
      </c>
      <c r="AA136" s="5" t="s">
        <v>362</v>
      </c>
      <c r="AB136" s="5" t="s">
        <v>57</v>
      </c>
    </row>
    <row r="137" customFormat="false" ht="35.05" hidden="false" customHeight="false" outlineLevel="0" collapsed="false">
      <c r="A137" s="7" t="s">
        <v>383</v>
      </c>
      <c r="B137" s="7" t="s">
        <v>357</v>
      </c>
      <c r="C137" s="7" t="s">
        <v>358</v>
      </c>
      <c r="D137" s="7" t="s">
        <v>359</v>
      </c>
      <c r="E137" s="7" t="n">
        <v>18</v>
      </c>
      <c r="F137" s="8" t="n">
        <v>0</v>
      </c>
      <c r="G137" s="7" t="s">
        <v>233</v>
      </c>
      <c r="H137" s="7" t="n">
        <v>0</v>
      </c>
      <c r="I137" s="7" t="s">
        <v>52</v>
      </c>
      <c r="J137" s="7" t="s">
        <v>53</v>
      </c>
      <c r="K137" s="3" t="s">
        <v>54</v>
      </c>
      <c r="L137" s="7" t="s">
        <v>233</v>
      </c>
      <c r="M137" s="7" t="s">
        <v>233</v>
      </c>
      <c r="N137" s="3" t="s">
        <v>55</v>
      </c>
      <c r="O137" s="7" t="s">
        <v>56</v>
      </c>
      <c r="P137" s="3" t="s">
        <v>384</v>
      </c>
      <c r="Q137" s="9" t="s">
        <v>11</v>
      </c>
      <c r="R137" s="4" t="s">
        <v>11</v>
      </c>
      <c r="S137" s="11"/>
      <c r="T137" s="12"/>
      <c r="U137" s="11"/>
      <c r="V137" s="11"/>
      <c r="W137" s="13" t="s">
        <v>57</v>
      </c>
      <c r="X137" s="13" t="n">
        <v>17</v>
      </c>
      <c r="Y137" s="13" t="s">
        <v>361</v>
      </c>
      <c r="Z137" s="13" t="s">
        <v>59</v>
      </c>
      <c r="AA137" s="5" t="s">
        <v>362</v>
      </c>
      <c r="AB137" s="5" t="s">
        <v>57</v>
      </c>
    </row>
    <row r="138" customFormat="false" ht="35.05" hidden="false" customHeight="false" outlineLevel="0" collapsed="false">
      <c r="A138" s="7" t="s">
        <v>385</v>
      </c>
      <c r="B138" s="7" t="s">
        <v>357</v>
      </c>
      <c r="C138" s="7" t="s">
        <v>358</v>
      </c>
      <c r="D138" s="7" t="s">
        <v>359</v>
      </c>
      <c r="E138" s="7" t="n">
        <v>18</v>
      </c>
      <c r="F138" s="8" t="n">
        <v>0</v>
      </c>
      <c r="G138" s="7" t="s">
        <v>233</v>
      </c>
      <c r="H138" s="7" t="n">
        <v>0</v>
      </c>
      <c r="I138" s="7" t="s">
        <v>52</v>
      </c>
      <c r="J138" s="7" t="s">
        <v>53</v>
      </c>
      <c r="K138" s="3" t="s">
        <v>54</v>
      </c>
      <c r="L138" s="7" t="s">
        <v>233</v>
      </c>
      <c r="M138" s="7" t="s">
        <v>233</v>
      </c>
      <c r="N138" s="3" t="s">
        <v>55</v>
      </c>
      <c r="O138" s="7" t="s">
        <v>56</v>
      </c>
      <c r="P138" s="3" t="s">
        <v>386</v>
      </c>
      <c r="Q138" s="9" t="s">
        <v>11</v>
      </c>
      <c r="R138" s="4" t="s">
        <v>11</v>
      </c>
      <c r="S138" s="11"/>
      <c r="T138" s="12"/>
      <c r="U138" s="11"/>
      <c r="V138" s="11"/>
      <c r="W138" s="13" t="s">
        <v>57</v>
      </c>
      <c r="X138" s="13" t="n">
        <v>17</v>
      </c>
      <c r="Y138" s="13" t="s">
        <v>361</v>
      </c>
      <c r="Z138" s="13" t="s">
        <v>59</v>
      </c>
      <c r="AA138" s="5" t="s">
        <v>362</v>
      </c>
      <c r="AB138" s="5" t="s">
        <v>57</v>
      </c>
    </row>
    <row r="139" customFormat="false" ht="35.05" hidden="false" customHeight="false" outlineLevel="0" collapsed="false">
      <c r="A139" s="7" t="s">
        <v>387</v>
      </c>
      <c r="B139" s="7" t="s">
        <v>357</v>
      </c>
      <c r="C139" s="7" t="s">
        <v>358</v>
      </c>
      <c r="D139" s="7" t="s">
        <v>359</v>
      </c>
      <c r="E139" s="7" t="n">
        <v>18</v>
      </c>
      <c r="F139" s="8" t="n">
        <v>0</v>
      </c>
      <c r="G139" s="7" t="s">
        <v>233</v>
      </c>
      <c r="H139" s="7" t="n">
        <v>0</v>
      </c>
      <c r="I139" s="7" t="s">
        <v>52</v>
      </c>
      <c r="J139" s="7" t="s">
        <v>53</v>
      </c>
      <c r="K139" s="3" t="s">
        <v>54</v>
      </c>
      <c r="L139" s="7" t="s">
        <v>233</v>
      </c>
      <c r="M139" s="7" t="s">
        <v>233</v>
      </c>
      <c r="N139" s="3" t="s">
        <v>55</v>
      </c>
      <c r="O139" s="7" t="s">
        <v>56</v>
      </c>
      <c r="P139" s="3" t="s">
        <v>388</v>
      </c>
      <c r="Q139" s="9" t="s">
        <v>11</v>
      </c>
      <c r="R139" s="4" t="s">
        <v>11</v>
      </c>
      <c r="S139" s="11"/>
      <c r="T139" s="12"/>
      <c r="U139" s="11"/>
      <c r="V139" s="11"/>
      <c r="W139" s="13" t="s">
        <v>57</v>
      </c>
      <c r="X139" s="13" t="n">
        <v>17</v>
      </c>
      <c r="Y139" s="13" t="s">
        <v>361</v>
      </c>
      <c r="Z139" s="13" t="s">
        <v>59</v>
      </c>
      <c r="AA139" s="5" t="s">
        <v>362</v>
      </c>
      <c r="AB139" s="5" t="s">
        <v>57</v>
      </c>
    </row>
    <row r="140" customFormat="false" ht="35.05" hidden="false" customHeight="false" outlineLevel="0" collapsed="false">
      <c r="A140" s="7" t="s">
        <v>389</v>
      </c>
      <c r="B140" s="7" t="s">
        <v>357</v>
      </c>
      <c r="C140" s="7" t="s">
        <v>358</v>
      </c>
      <c r="D140" s="7" t="s">
        <v>359</v>
      </c>
      <c r="E140" s="7" t="n">
        <v>18</v>
      </c>
      <c r="F140" s="8" t="n">
        <v>0</v>
      </c>
      <c r="G140" s="7" t="s">
        <v>233</v>
      </c>
      <c r="H140" s="7" t="n">
        <v>0</v>
      </c>
      <c r="I140" s="7" t="s">
        <v>52</v>
      </c>
      <c r="J140" s="7" t="s">
        <v>53</v>
      </c>
      <c r="K140" s="3" t="s">
        <v>54</v>
      </c>
      <c r="L140" s="7" t="s">
        <v>233</v>
      </c>
      <c r="M140" s="7" t="s">
        <v>233</v>
      </c>
      <c r="N140" s="3" t="s">
        <v>55</v>
      </c>
      <c r="O140" s="7" t="s">
        <v>56</v>
      </c>
      <c r="P140" s="3" t="s">
        <v>390</v>
      </c>
      <c r="Q140" s="9" t="s">
        <v>11</v>
      </c>
      <c r="R140" s="4" t="s">
        <v>11</v>
      </c>
      <c r="S140" s="11"/>
      <c r="T140" s="12"/>
      <c r="U140" s="11"/>
      <c r="V140" s="11"/>
      <c r="W140" s="13" t="s">
        <v>57</v>
      </c>
      <c r="X140" s="13" t="n">
        <v>17</v>
      </c>
      <c r="Y140" s="13" t="s">
        <v>361</v>
      </c>
      <c r="Z140" s="13" t="s">
        <v>59</v>
      </c>
      <c r="AA140" s="5" t="s">
        <v>362</v>
      </c>
      <c r="AB140" s="5" t="s">
        <v>57</v>
      </c>
    </row>
    <row r="141" customFormat="false" ht="35.05" hidden="false" customHeight="false" outlineLevel="0" collapsed="false">
      <c r="A141" s="7" t="s">
        <v>391</v>
      </c>
      <c r="B141" s="7" t="s">
        <v>357</v>
      </c>
      <c r="C141" s="7" t="s">
        <v>358</v>
      </c>
      <c r="D141" s="7" t="s">
        <v>359</v>
      </c>
      <c r="E141" s="7" t="n">
        <v>18</v>
      </c>
      <c r="F141" s="8" t="n">
        <v>0</v>
      </c>
      <c r="G141" s="7" t="s">
        <v>233</v>
      </c>
      <c r="H141" s="7" t="n">
        <v>0</v>
      </c>
      <c r="I141" s="7" t="s">
        <v>52</v>
      </c>
      <c r="J141" s="7" t="s">
        <v>53</v>
      </c>
      <c r="K141" s="3" t="s">
        <v>54</v>
      </c>
      <c r="L141" s="7" t="s">
        <v>233</v>
      </c>
      <c r="M141" s="7" t="s">
        <v>233</v>
      </c>
      <c r="N141" s="3" t="s">
        <v>55</v>
      </c>
      <c r="O141" s="7" t="s">
        <v>56</v>
      </c>
      <c r="P141" s="3" t="s">
        <v>392</v>
      </c>
      <c r="Q141" s="9" t="s">
        <v>11</v>
      </c>
      <c r="R141" s="4" t="s">
        <v>11</v>
      </c>
      <c r="S141" s="11"/>
      <c r="T141" s="12"/>
      <c r="U141" s="11"/>
      <c r="V141" s="11"/>
      <c r="W141" s="13" t="s">
        <v>57</v>
      </c>
      <c r="X141" s="13" t="n">
        <v>17</v>
      </c>
      <c r="Y141" s="13" t="s">
        <v>361</v>
      </c>
      <c r="Z141" s="13" t="s">
        <v>59</v>
      </c>
      <c r="AA141" s="5" t="s">
        <v>362</v>
      </c>
      <c r="AB141" s="5" t="s">
        <v>57</v>
      </c>
    </row>
    <row r="142" customFormat="false" ht="35.05" hidden="false" customHeight="false" outlineLevel="0" collapsed="false">
      <c r="A142" s="7" t="s">
        <v>393</v>
      </c>
      <c r="B142" s="7" t="s">
        <v>357</v>
      </c>
      <c r="C142" s="7" t="s">
        <v>358</v>
      </c>
      <c r="D142" s="7" t="s">
        <v>359</v>
      </c>
      <c r="E142" s="7" t="n">
        <v>18</v>
      </c>
      <c r="F142" s="8" t="n">
        <v>0</v>
      </c>
      <c r="G142" s="7" t="s">
        <v>233</v>
      </c>
      <c r="H142" s="7" t="n">
        <v>0</v>
      </c>
      <c r="I142" s="7" t="s">
        <v>52</v>
      </c>
      <c r="J142" s="7" t="s">
        <v>53</v>
      </c>
      <c r="K142" s="3" t="s">
        <v>54</v>
      </c>
      <c r="L142" s="7" t="s">
        <v>233</v>
      </c>
      <c r="M142" s="7" t="s">
        <v>233</v>
      </c>
      <c r="N142" s="3" t="s">
        <v>55</v>
      </c>
      <c r="O142" s="7" t="s">
        <v>56</v>
      </c>
      <c r="P142" s="3" t="s">
        <v>394</v>
      </c>
      <c r="Q142" s="9" t="s">
        <v>11</v>
      </c>
      <c r="R142" s="4" t="s">
        <v>11</v>
      </c>
      <c r="S142" s="11"/>
      <c r="T142" s="12"/>
      <c r="U142" s="11"/>
      <c r="V142" s="11"/>
      <c r="W142" s="13" t="s">
        <v>57</v>
      </c>
      <c r="X142" s="13" t="n">
        <v>17</v>
      </c>
      <c r="Y142" s="13" t="s">
        <v>361</v>
      </c>
      <c r="Z142" s="13" t="s">
        <v>59</v>
      </c>
      <c r="AA142" s="5" t="s">
        <v>362</v>
      </c>
      <c r="AB142" s="5" t="s">
        <v>57</v>
      </c>
    </row>
    <row r="143" customFormat="false" ht="35.05" hidden="false" customHeight="false" outlineLevel="0" collapsed="false">
      <c r="A143" s="7" t="s">
        <v>395</v>
      </c>
      <c r="B143" s="7" t="s">
        <v>357</v>
      </c>
      <c r="C143" s="7" t="s">
        <v>358</v>
      </c>
      <c r="D143" s="7" t="s">
        <v>359</v>
      </c>
      <c r="E143" s="7" t="n">
        <v>18</v>
      </c>
      <c r="F143" s="8" t="n">
        <v>0</v>
      </c>
      <c r="G143" s="7" t="s">
        <v>233</v>
      </c>
      <c r="H143" s="7" t="n">
        <v>0</v>
      </c>
      <c r="I143" s="7" t="s">
        <v>52</v>
      </c>
      <c r="J143" s="7" t="s">
        <v>53</v>
      </c>
      <c r="K143" s="3" t="s">
        <v>54</v>
      </c>
      <c r="L143" s="7" t="s">
        <v>233</v>
      </c>
      <c r="M143" s="7" t="s">
        <v>233</v>
      </c>
      <c r="N143" s="3" t="s">
        <v>55</v>
      </c>
      <c r="O143" s="7" t="s">
        <v>56</v>
      </c>
      <c r="P143" s="3" t="s">
        <v>396</v>
      </c>
      <c r="Q143" s="9" t="s">
        <v>11</v>
      </c>
      <c r="R143" s="4" t="s">
        <v>11</v>
      </c>
      <c r="S143" s="11"/>
      <c r="T143" s="12"/>
      <c r="U143" s="11"/>
      <c r="V143" s="11"/>
      <c r="W143" s="13" t="s">
        <v>57</v>
      </c>
      <c r="X143" s="13" t="n">
        <v>17</v>
      </c>
      <c r="Y143" s="13" t="s">
        <v>361</v>
      </c>
      <c r="Z143" s="13" t="s">
        <v>59</v>
      </c>
      <c r="AA143" s="5" t="s">
        <v>362</v>
      </c>
      <c r="AB143" s="5" t="s">
        <v>57</v>
      </c>
    </row>
    <row r="144" customFormat="false" ht="35.05" hidden="false" customHeight="false" outlineLevel="0" collapsed="false">
      <c r="A144" s="7" t="s">
        <v>397</v>
      </c>
      <c r="B144" s="9" t="s">
        <v>11</v>
      </c>
      <c r="C144" s="9" t="s">
        <v>11</v>
      </c>
      <c r="D144" s="7" t="s">
        <v>398</v>
      </c>
      <c r="E144" s="9" t="s">
        <v>11</v>
      </c>
      <c r="F144" s="8" t="s">
        <v>233</v>
      </c>
      <c r="G144" s="7" t="s">
        <v>233</v>
      </c>
      <c r="H144" s="7" t="n">
        <v>0</v>
      </c>
      <c r="I144" s="7" t="s">
        <v>52</v>
      </c>
      <c r="J144" s="7" t="s">
        <v>53</v>
      </c>
      <c r="K144" s="3" t="s">
        <v>54</v>
      </c>
      <c r="L144" s="7" t="s">
        <v>233</v>
      </c>
      <c r="M144" s="7" t="s">
        <v>233</v>
      </c>
      <c r="N144" s="3" t="s">
        <v>55</v>
      </c>
      <c r="O144" s="7" t="s">
        <v>56</v>
      </c>
      <c r="P144" s="3" t="s">
        <v>399</v>
      </c>
      <c r="Q144" s="9" t="s">
        <v>11</v>
      </c>
      <c r="R144" s="4" t="s">
        <v>11</v>
      </c>
      <c r="S144" s="11"/>
      <c r="T144" s="12"/>
      <c r="U144" s="11"/>
      <c r="V144" s="11"/>
      <c r="W144" s="13" t="s">
        <v>57</v>
      </c>
      <c r="X144" s="13" t="n">
        <v>0</v>
      </c>
      <c r="Y144" s="13" t="s">
        <v>400</v>
      </c>
      <c r="Z144" s="13" t="s">
        <v>59</v>
      </c>
      <c r="AA144" s="5" t="s">
        <v>57</v>
      </c>
      <c r="AB144" s="5" t="s">
        <v>57</v>
      </c>
    </row>
    <row r="145" customFormat="false" ht="35.05" hidden="false" customHeight="false" outlineLevel="0" collapsed="false">
      <c r="A145" s="7" t="s">
        <v>401</v>
      </c>
      <c r="B145" s="9" t="s">
        <v>11</v>
      </c>
      <c r="C145" s="9" t="s">
        <v>11</v>
      </c>
      <c r="D145" s="7" t="s">
        <v>398</v>
      </c>
      <c r="E145" s="9" t="s">
        <v>11</v>
      </c>
      <c r="F145" s="8" t="s">
        <v>233</v>
      </c>
      <c r="G145" s="7" t="s">
        <v>233</v>
      </c>
      <c r="H145" s="7" t="n">
        <v>0</v>
      </c>
      <c r="I145" s="7" t="s">
        <v>52</v>
      </c>
      <c r="J145" s="7" t="s">
        <v>53</v>
      </c>
      <c r="K145" s="3" t="s">
        <v>54</v>
      </c>
      <c r="L145" s="7" t="s">
        <v>233</v>
      </c>
      <c r="M145" s="7" t="s">
        <v>233</v>
      </c>
      <c r="N145" s="3" t="s">
        <v>55</v>
      </c>
      <c r="O145" s="7" t="s">
        <v>56</v>
      </c>
      <c r="P145" s="3" t="s">
        <v>402</v>
      </c>
      <c r="Q145" s="9" t="s">
        <v>11</v>
      </c>
      <c r="R145" s="4" t="s">
        <v>11</v>
      </c>
      <c r="S145" s="11"/>
      <c r="T145" s="12"/>
      <c r="U145" s="11"/>
      <c r="V145" s="11"/>
      <c r="W145" s="13" t="s">
        <v>57</v>
      </c>
      <c r="X145" s="13" t="n">
        <v>0</v>
      </c>
      <c r="Y145" s="13" t="s">
        <v>403</v>
      </c>
      <c r="Z145" s="13" t="s">
        <v>59</v>
      </c>
      <c r="AA145" s="5" t="s">
        <v>57</v>
      </c>
      <c r="AB145" s="5" t="s">
        <v>57</v>
      </c>
    </row>
    <row r="146" customFormat="false" ht="35.05" hidden="false" customHeight="false" outlineLevel="0" collapsed="false">
      <c r="A146" s="7" t="s">
        <v>404</v>
      </c>
      <c r="B146" s="9" t="s">
        <v>11</v>
      </c>
      <c r="C146" s="9" t="s">
        <v>11</v>
      </c>
      <c r="D146" s="7" t="s">
        <v>398</v>
      </c>
      <c r="E146" s="9" t="s">
        <v>11</v>
      </c>
      <c r="F146" s="8" t="s">
        <v>233</v>
      </c>
      <c r="G146" s="7" t="s">
        <v>233</v>
      </c>
      <c r="H146" s="7" t="n">
        <v>0</v>
      </c>
      <c r="I146" s="7" t="s">
        <v>52</v>
      </c>
      <c r="J146" s="7" t="s">
        <v>53</v>
      </c>
      <c r="K146" s="3" t="s">
        <v>54</v>
      </c>
      <c r="L146" s="7" t="s">
        <v>233</v>
      </c>
      <c r="M146" s="7" t="s">
        <v>233</v>
      </c>
      <c r="N146" s="3" t="s">
        <v>55</v>
      </c>
      <c r="O146" s="7" t="s">
        <v>56</v>
      </c>
      <c r="P146" s="3" t="s">
        <v>405</v>
      </c>
      <c r="Q146" s="9" t="s">
        <v>11</v>
      </c>
      <c r="R146" s="4" t="s">
        <v>11</v>
      </c>
      <c r="S146" s="11"/>
      <c r="T146" s="12"/>
      <c r="U146" s="11"/>
      <c r="V146" s="11"/>
      <c r="W146" s="13" t="s">
        <v>57</v>
      </c>
      <c r="X146" s="13" t="n">
        <v>0</v>
      </c>
      <c r="Y146" s="13" t="s">
        <v>406</v>
      </c>
      <c r="Z146" s="13" t="s">
        <v>59</v>
      </c>
      <c r="AA146" s="5" t="s">
        <v>57</v>
      </c>
      <c r="AB146" s="5" t="s">
        <v>57</v>
      </c>
    </row>
    <row r="147" customFormat="false" ht="35.05" hidden="false" customHeight="false" outlineLevel="0" collapsed="false">
      <c r="A147" s="7" t="s">
        <v>407</v>
      </c>
      <c r="B147" s="9" t="s">
        <v>11</v>
      </c>
      <c r="C147" s="9" t="s">
        <v>11</v>
      </c>
      <c r="D147" s="7" t="s">
        <v>398</v>
      </c>
      <c r="E147" s="9" t="s">
        <v>11</v>
      </c>
      <c r="F147" s="8" t="s">
        <v>233</v>
      </c>
      <c r="G147" s="7" t="s">
        <v>233</v>
      </c>
      <c r="H147" s="7" t="n">
        <v>0</v>
      </c>
      <c r="I147" s="7" t="s">
        <v>52</v>
      </c>
      <c r="J147" s="7" t="s">
        <v>53</v>
      </c>
      <c r="K147" s="3" t="s">
        <v>54</v>
      </c>
      <c r="L147" s="7" t="s">
        <v>233</v>
      </c>
      <c r="M147" s="7" t="s">
        <v>233</v>
      </c>
      <c r="N147" s="3" t="s">
        <v>55</v>
      </c>
      <c r="O147" s="7" t="s">
        <v>56</v>
      </c>
      <c r="P147" s="3" t="s">
        <v>408</v>
      </c>
      <c r="Q147" s="9" t="s">
        <v>11</v>
      </c>
      <c r="R147" s="4" t="s">
        <v>11</v>
      </c>
      <c r="S147" s="11"/>
      <c r="T147" s="12"/>
      <c r="U147" s="11"/>
      <c r="V147" s="11"/>
      <c r="W147" s="13" t="s">
        <v>57</v>
      </c>
      <c r="X147" s="13" t="n">
        <v>0</v>
      </c>
      <c r="Y147" s="13" t="s">
        <v>409</v>
      </c>
      <c r="Z147" s="13" t="s">
        <v>59</v>
      </c>
      <c r="AA147" s="5" t="s">
        <v>57</v>
      </c>
      <c r="AB147" s="5" t="s">
        <v>57</v>
      </c>
    </row>
    <row r="148" customFormat="false" ht="35.05" hidden="false" customHeight="false" outlineLevel="0" collapsed="false">
      <c r="A148" s="7" t="s">
        <v>410</v>
      </c>
      <c r="B148" s="9" t="s">
        <v>11</v>
      </c>
      <c r="C148" s="9" t="s">
        <v>11</v>
      </c>
      <c r="D148" s="7" t="s">
        <v>398</v>
      </c>
      <c r="E148" s="9" t="s">
        <v>11</v>
      </c>
      <c r="F148" s="8" t="s">
        <v>233</v>
      </c>
      <c r="G148" s="7" t="s">
        <v>233</v>
      </c>
      <c r="H148" s="7" t="n">
        <v>0</v>
      </c>
      <c r="I148" s="7" t="s">
        <v>52</v>
      </c>
      <c r="J148" s="7" t="s">
        <v>53</v>
      </c>
      <c r="K148" s="3" t="s">
        <v>54</v>
      </c>
      <c r="L148" s="7" t="s">
        <v>233</v>
      </c>
      <c r="M148" s="7" t="s">
        <v>233</v>
      </c>
      <c r="N148" s="3" t="s">
        <v>55</v>
      </c>
      <c r="O148" s="7" t="s">
        <v>56</v>
      </c>
      <c r="P148" s="3" t="s">
        <v>411</v>
      </c>
      <c r="Q148" s="9" t="s">
        <v>11</v>
      </c>
      <c r="R148" s="4" t="s">
        <v>11</v>
      </c>
      <c r="S148" s="11"/>
      <c r="T148" s="12"/>
      <c r="U148" s="11"/>
      <c r="V148" s="11"/>
      <c r="W148" s="13" t="s">
        <v>57</v>
      </c>
      <c r="X148" s="13" t="n">
        <v>0</v>
      </c>
      <c r="Y148" s="13" t="s">
        <v>412</v>
      </c>
      <c r="Z148" s="13" t="s">
        <v>59</v>
      </c>
      <c r="AA148" s="5" t="s">
        <v>57</v>
      </c>
      <c r="AB148" s="5" t="s">
        <v>57</v>
      </c>
    </row>
    <row r="149" customFormat="false" ht="35.05" hidden="false" customHeight="false" outlineLevel="0" collapsed="false">
      <c r="A149" s="7" t="s">
        <v>413</v>
      </c>
      <c r="B149" s="9" t="s">
        <v>11</v>
      </c>
      <c r="C149" s="9" t="s">
        <v>11</v>
      </c>
      <c r="D149" s="7" t="s">
        <v>398</v>
      </c>
      <c r="E149" s="9" t="s">
        <v>11</v>
      </c>
      <c r="F149" s="8" t="s">
        <v>233</v>
      </c>
      <c r="G149" s="7" t="s">
        <v>233</v>
      </c>
      <c r="H149" s="7" t="n">
        <v>0</v>
      </c>
      <c r="I149" s="7" t="s">
        <v>52</v>
      </c>
      <c r="J149" s="7" t="s">
        <v>53</v>
      </c>
      <c r="K149" s="3" t="s">
        <v>54</v>
      </c>
      <c r="L149" s="7" t="s">
        <v>233</v>
      </c>
      <c r="M149" s="7" t="s">
        <v>233</v>
      </c>
      <c r="N149" s="3" t="s">
        <v>55</v>
      </c>
      <c r="O149" s="7" t="s">
        <v>56</v>
      </c>
      <c r="P149" s="3" t="s">
        <v>414</v>
      </c>
      <c r="Q149" s="9" t="s">
        <v>11</v>
      </c>
      <c r="R149" s="4" t="s">
        <v>11</v>
      </c>
      <c r="S149" s="11"/>
      <c r="T149" s="12"/>
      <c r="U149" s="11"/>
      <c r="V149" s="11"/>
      <c r="W149" s="13" t="s">
        <v>57</v>
      </c>
      <c r="X149" s="13" t="n">
        <v>0</v>
      </c>
      <c r="Y149" s="13" t="s">
        <v>415</v>
      </c>
      <c r="Z149" s="13" t="s">
        <v>59</v>
      </c>
      <c r="AA149" s="5" t="s">
        <v>57</v>
      </c>
      <c r="AB149" s="5" t="s">
        <v>57</v>
      </c>
    </row>
    <row r="150" customFormat="false" ht="35.05" hidden="false" customHeight="false" outlineLevel="0" collapsed="false">
      <c r="A150" s="7" t="s">
        <v>416</v>
      </c>
      <c r="B150" s="9" t="s">
        <v>11</v>
      </c>
      <c r="C150" s="9" t="s">
        <v>11</v>
      </c>
      <c r="D150" s="7" t="s">
        <v>398</v>
      </c>
      <c r="E150" s="9" t="s">
        <v>11</v>
      </c>
      <c r="F150" s="8" t="s">
        <v>233</v>
      </c>
      <c r="G150" s="7" t="s">
        <v>233</v>
      </c>
      <c r="H150" s="7" t="n">
        <v>0</v>
      </c>
      <c r="I150" s="7" t="s">
        <v>52</v>
      </c>
      <c r="J150" s="7" t="s">
        <v>53</v>
      </c>
      <c r="K150" s="3" t="s">
        <v>54</v>
      </c>
      <c r="L150" s="7" t="s">
        <v>233</v>
      </c>
      <c r="M150" s="7" t="s">
        <v>233</v>
      </c>
      <c r="N150" s="3" t="s">
        <v>55</v>
      </c>
      <c r="O150" s="7" t="s">
        <v>56</v>
      </c>
      <c r="P150" s="3" t="s">
        <v>405</v>
      </c>
      <c r="Q150" s="9" t="s">
        <v>11</v>
      </c>
      <c r="R150" s="4" t="s">
        <v>11</v>
      </c>
      <c r="S150" s="11"/>
      <c r="T150" s="12"/>
      <c r="U150" s="11"/>
      <c r="V150" s="11"/>
      <c r="W150" s="13" t="s">
        <v>57</v>
      </c>
      <c r="X150" s="13" t="n">
        <v>0</v>
      </c>
      <c r="Y150" s="13" t="s">
        <v>417</v>
      </c>
      <c r="Z150" s="13" t="s">
        <v>59</v>
      </c>
      <c r="AA150" s="5" t="s">
        <v>57</v>
      </c>
      <c r="AB150" s="5" t="s">
        <v>57</v>
      </c>
    </row>
    <row r="151" customFormat="false" ht="35.05" hidden="false" customHeight="false" outlineLevel="0" collapsed="false">
      <c r="A151" s="7" t="s">
        <v>418</v>
      </c>
      <c r="B151" s="9" t="s">
        <v>11</v>
      </c>
      <c r="C151" s="9" t="s">
        <v>11</v>
      </c>
      <c r="D151" s="7" t="s">
        <v>398</v>
      </c>
      <c r="E151" s="9" t="s">
        <v>11</v>
      </c>
      <c r="F151" s="8" t="s">
        <v>233</v>
      </c>
      <c r="G151" s="7" t="s">
        <v>233</v>
      </c>
      <c r="H151" s="7" t="n">
        <v>0</v>
      </c>
      <c r="I151" s="7" t="s">
        <v>52</v>
      </c>
      <c r="J151" s="7" t="s">
        <v>53</v>
      </c>
      <c r="K151" s="3" t="s">
        <v>54</v>
      </c>
      <c r="L151" s="7" t="s">
        <v>233</v>
      </c>
      <c r="M151" s="7" t="s">
        <v>233</v>
      </c>
      <c r="N151" s="3" t="s">
        <v>55</v>
      </c>
      <c r="O151" s="7" t="s">
        <v>56</v>
      </c>
      <c r="P151" s="3" t="s">
        <v>399</v>
      </c>
      <c r="Q151" s="9" t="s">
        <v>11</v>
      </c>
      <c r="R151" s="4" t="s">
        <v>11</v>
      </c>
      <c r="S151" s="11"/>
      <c r="T151" s="12"/>
      <c r="U151" s="11"/>
      <c r="V151" s="11"/>
      <c r="W151" s="13" t="s">
        <v>57</v>
      </c>
      <c r="X151" s="13" t="n">
        <v>0</v>
      </c>
      <c r="Y151" s="13" t="s">
        <v>419</v>
      </c>
      <c r="Z151" s="13" t="s">
        <v>59</v>
      </c>
      <c r="AA151" s="5" t="s">
        <v>57</v>
      </c>
      <c r="AB151" s="5" t="s">
        <v>57</v>
      </c>
    </row>
    <row r="152" customFormat="false" ht="35.05" hidden="false" customHeight="false" outlineLevel="0" collapsed="false">
      <c r="A152" s="7" t="s">
        <v>420</v>
      </c>
      <c r="B152" s="9" t="s">
        <v>11</v>
      </c>
      <c r="C152" s="9" t="s">
        <v>11</v>
      </c>
      <c r="D152" s="7" t="s">
        <v>398</v>
      </c>
      <c r="E152" s="9" t="s">
        <v>11</v>
      </c>
      <c r="F152" s="8" t="s">
        <v>233</v>
      </c>
      <c r="G152" s="7" t="s">
        <v>233</v>
      </c>
      <c r="H152" s="7" t="n">
        <v>0</v>
      </c>
      <c r="I152" s="7" t="s">
        <v>52</v>
      </c>
      <c r="J152" s="7" t="s">
        <v>53</v>
      </c>
      <c r="K152" s="3" t="s">
        <v>54</v>
      </c>
      <c r="L152" s="7" t="s">
        <v>233</v>
      </c>
      <c r="M152" s="7" t="s">
        <v>233</v>
      </c>
      <c r="N152" s="3" t="s">
        <v>55</v>
      </c>
      <c r="O152" s="7" t="s">
        <v>56</v>
      </c>
      <c r="P152" s="3" t="s">
        <v>421</v>
      </c>
      <c r="Q152" s="9" t="s">
        <v>11</v>
      </c>
      <c r="R152" s="4" t="s">
        <v>11</v>
      </c>
      <c r="S152" s="11"/>
      <c r="T152" s="12"/>
      <c r="U152" s="11"/>
      <c r="V152" s="11"/>
      <c r="W152" s="13" t="s">
        <v>57</v>
      </c>
      <c r="X152" s="13" t="n">
        <v>0</v>
      </c>
      <c r="Y152" s="13" t="s">
        <v>422</v>
      </c>
      <c r="Z152" s="13" t="s">
        <v>59</v>
      </c>
      <c r="AA152" s="5" t="s">
        <v>57</v>
      </c>
      <c r="AB152" s="5" t="s">
        <v>57</v>
      </c>
    </row>
    <row r="153" customFormat="false" ht="35.05" hidden="false" customHeight="false" outlineLevel="0" collapsed="false">
      <c r="A153" s="7" t="s">
        <v>423</v>
      </c>
      <c r="B153" s="9" t="s">
        <v>11</v>
      </c>
      <c r="C153" s="9" t="s">
        <v>11</v>
      </c>
      <c r="D153" s="7" t="s">
        <v>398</v>
      </c>
      <c r="E153" s="9" t="s">
        <v>11</v>
      </c>
      <c r="F153" s="8" t="s">
        <v>233</v>
      </c>
      <c r="G153" s="7" t="s">
        <v>233</v>
      </c>
      <c r="H153" s="7" t="n">
        <v>0</v>
      </c>
      <c r="I153" s="7" t="s">
        <v>52</v>
      </c>
      <c r="J153" s="7" t="s">
        <v>53</v>
      </c>
      <c r="K153" s="3" t="s">
        <v>54</v>
      </c>
      <c r="L153" s="7" t="s">
        <v>233</v>
      </c>
      <c r="M153" s="7" t="s">
        <v>233</v>
      </c>
      <c r="N153" s="3" t="s">
        <v>55</v>
      </c>
      <c r="O153" s="7" t="s">
        <v>56</v>
      </c>
      <c r="P153" s="3" t="s">
        <v>424</v>
      </c>
      <c r="Q153" s="9" t="s">
        <v>11</v>
      </c>
      <c r="R153" s="4" t="s">
        <v>11</v>
      </c>
      <c r="S153" s="11"/>
      <c r="T153" s="12"/>
      <c r="U153" s="11"/>
      <c r="V153" s="11"/>
      <c r="W153" s="13" t="s">
        <v>57</v>
      </c>
      <c r="X153" s="13" t="n">
        <v>0</v>
      </c>
      <c r="Y153" s="13" t="s">
        <v>425</v>
      </c>
      <c r="Z153" s="13" t="s">
        <v>59</v>
      </c>
      <c r="AA153" s="5" t="s">
        <v>57</v>
      </c>
      <c r="AB153" s="5" t="s">
        <v>57</v>
      </c>
    </row>
    <row r="154" customFormat="false" ht="35.05" hidden="false" customHeight="false" outlineLevel="0" collapsed="false">
      <c r="A154" s="7" t="s">
        <v>426</v>
      </c>
      <c r="B154" s="9" t="s">
        <v>11</v>
      </c>
      <c r="C154" s="9" t="s">
        <v>11</v>
      </c>
      <c r="D154" s="7" t="s">
        <v>398</v>
      </c>
      <c r="E154" s="9" t="s">
        <v>11</v>
      </c>
      <c r="F154" s="8" t="s">
        <v>233</v>
      </c>
      <c r="G154" s="7" t="s">
        <v>233</v>
      </c>
      <c r="H154" s="7" t="n">
        <v>0</v>
      </c>
      <c r="I154" s="7" t="s">
        <v>52</v>
      </c>
      <c r="J154" s="7" t="s">
        <v>53</v>
      </c>
      <c r="K154" s="3" t="s">
        <v>54</v>
      </c>
      <c r="L154" s="7" t="s">
        <v>233</v>
      </c>
      <c r="M154" s="7" t="s">
        <v>233</v>
      </c>
      <c r="N154" s="3" t="s">
        <v>55</v>
      </c>
      <c r="O154" s="7" t="s">
        <v>56</v>
      </c>
      <c r="P154" s="3" t="s">
        <v>408</v>
      </c>
      <c r="Q154" s="9" t="s">
        <v>11</v>
      </c>
      <c r="R154" s="4" t="s">
        <v>11</v>
      </c>
      <c r="S154" s="11"/>
      <c r="T154" s="12"/>
      <c r="U154" s="11"/>
      <c r="V154" s="11"/>
      <c r="W154" s="13" t="s">
        <v>57</v>
      </c>
      <c r="X154" s="13" t="n">
        <v>0</v>
      </c>
      <c r="Y154" s="13" t="s">
        <v>427</v>
      </c>
      <c r="Z154" s="13" t="s">
        <v>59</v>
      </c>
      <c r="AA154" s="5" t="s">
        <v>57</v>
      </c>
      <c r="AB154" s="5" t="s">
        <v>57</v>
      </c>
    </row>
    <row r="155" customFormat="false" ht="35.05" hidden="false" customHeight="false" outlineLevel="0" collapsed="false">
      <c r="A155" s="7" t="s">
        <v>428</v>
      </c>
      <c r="B155" s="9" t="s">
        <v>11</v>
      </c>
      <c r="C155" s="9" t="s">
        <v>11</v>
      </c>
      <c r="D155" s="7" t="s">
        <v>398</v>
      </c>
      <c r="E155" s="9" t="s">
        <v>11</v>
      </c>
      <c r="F155" s="8" t="s">
        <v>233</v>
      </c>
      <c r="G155" s="7" t="s">
        <v>233</v>
      </c>
      <c r="H155" s="7" t="n">
        <v>0</v>
      </c>
      <c r="I155" s="7" t="s">
        <v>52</v>
      </c>
      <c r="J155" s="7" t="s">
        <v>53</v>
      </c>
      <c r="K155" s="3" t="s">
        <v>54</v>
      </c>
      <c r="L155" s="7" t="s">
        <v>233</v>
      </c>
      <c r="M155" s="7" t="s">
        <v>233</v>
      </c>
      <c r="N155" s="3" t="s">
        <v>55</v>
      </c>
      <c r="O155" s="7" t="s">
        <v>56</v>
      </c>
      <c r="P155" s="3" t="s">
        <v>429</v>
      </c>
      <c r="Q155" s="9" t="s">
        <v>11</v>
      </c>
      <c r="R155" s="4" t="s">
        <v>11</v>
      </c>
      <c r="S155" s="11"/>
      <c r="T155" s="12"/>
      <c r="U155" s="11"/>
      <c r="V155" s="11"/>
      <c r="W155" s="13" t="s">
        <v>57</v>
      </c>
      <c r="X155" s="13" t="n">
        <v>0</v>
      </c>
      <c r="Y155" s="13" t="s">
        <v>430</v>
      </c>
      <c r="Z155" s="13" t="s">
        <v>59</v>
      </c>
      <c r="AA155" s="5" t="s">
        <v>57</v>
      </c>
      <c r="AB155" s="5" t="s">
        <v>57</v>
      </c>
    </row>
    <row r="156" customFormat="false" ht="35.05" hidden="false" customHeight="false" outlineLevel="0" collapsed="false">
      <c r="A156" s="7" t="s">
        <v>431</v>
      </c>
      <c r="B156" s="9" t="s">
        <v>11</v>
      </c>
      <c r="C156" s="9" t="s">
        <v>11</v>
      </c>
      <c r="D156" s="7" t="s">
        <v>398</v>
      </c>
      <c r="E156" s="9" t="s">
        <v>11</v>
      </c>
      <c r="F156" s="8" t="s">
        <v>233</v>
      </c>
      <c r="G156" s="7" t="s">
        <v>233</v>
      </c>
      <c r="H156" s="7" t="n">
        <v>0</v>
      </c>
      <c r="I156" s="7" t="s">
        <v>52</v>
      </c>
      <c r="J156" s="7" t="s">
        <v>53</v>
      </c>
      <c r="K156" s="3" t="s">
        <v>54</v>
      </c>
      <c r="L156" s="7" t="s">
        <v>233</v>
      </c>
      <c r="M156" s="7" t="s">
        <v>233</v>
      </c>
      <c r="N156" s="3" t="s">
        <v>55</v>
      </c>
      <c r="O156" s="7" t="s">
        <v>56</v>
      </c>
      <c r="P156" s="3" t="s">
        <v>432</v>
      </c>
      <c r="Q156" s="9" t="s">
        <v>11</v>
      </c>
      <c r="R156" s="4" t="s">
        <v>11</v>
      </c>
      <c r="S156" s="11"/>
      <c r="T156" s="12"/>
      <c r="U156" s="11"/>
      <c r="V156" s="11"/>
      <c r="W156" s="13" t="s">
        <v>57</v>
      </c>
      <c r="X156" s="13" t="n">
        <v>0</v>
      </c>
      <c r="Y156" s="13" t="s">
        <v>433</v>
      </c>
      <c r="Z156" s="13" t="s">
        <v>59</v>
      </c>
      <c r="AA156" s="5" t="s">
        <v>57</v>
      </c>
      <c r="AB156" s="5" t="s">
        <v>57</v>
      </c>
    </row>
    <row r="157" customFormat="false" ht="35.05" hidden="false" customHeight="false" outlineLevel="0" collapsed="false">
      <c r="A157" s="7" t="s">
        <v>434</v>
      </c>
      <c r="B157" s="9" t="s">
        <v>11</v>
      </c>
      <c r="C157" s="9" t="s">
        <v>11</v>
      </c>
      <c r="D157" s="7" t="s">
        <v>398</v>
      </c>
      <c r="E157" s="9" t="s">
        <v>11</v>
      </c>
      <c r="F157" s="8" t="s">
        <v>233</v>
      </c>
      <c r="G157" s="7" t="s">
        <v>233</v>
      </c>
      <c r="H157" s="7" t="n">
        <v>0</v>
      </c>
      <c r="I157" s="7" t="s">
        <v>52</v>
      </c>
      <c r="J157" s="7" t="s">
        <v>53</v>
      </c>
      <c r="K157" s="3" t="s">
        <v>54</v>
      </c>
      <c r="L157" s="7" t="s">
        <v>233</v>
      </c>
      <c r="M157" s="7" t="s">
        <v>233</v>
      </c>
      <c r="N157" s="3" t="s">
        <v>55</v>
      </c>
      <c r="O157" s="7" t="s">
        <v>56</v>
      </c>
      <c r="P157" s="3" t="s">
        <v>435</v>
      </c>
      <c r="Q157" s="9" t="s">
        <v>11</v>
      </c>
      <c r="R157" s="4" t="s">
        <v>11</v>
      </c>
      <c r="S157" s="11"/>
      <c r="T157" s="12"/>
      <c r="U157" s="11"/>
      <c r="V157" s="11"/>
      <c r="W157" s="13" t="s">
        <v>57</v>
      </c>
      <c r="X157" s="13" t="n">
        <v>0</v>
      </c>
      <c r="Y157" s="13" t="s">
        <v>436</v>
      </c>
      <c r="Z157" s="13" t="s">
        <v>59</v>
      </c>
      <c r="AA157" s="5" t="s">
        <v>57</v>
      </c>
      <c r="AB157" s="5" t="s">
        <v>57</v>
      </c>
    </row>
    <row r="158" customFormat="false" ht="35.05" hidden="false" customHeight="false" outlineLevel="0" collapsed="false">
      <c r="A158" s="7" t="s">
        <v>437</v>
      </c>
      <c r="B158" s="9" t="s">
        <v>11</v>
      </c>
      <c r="C158" s="9" t="s">
        <v>11</v>
      </c>
      <c r="D158" s="7" t="s">
        <v>398</v>
      </c>
      <c r="E158" s="9" t="s">
        <v>11</v>
      </c>
      <c r="F158" s="8" t="s">
        <v>233</v>
      </c>
      <c r="G158" s="7" t="s">
        <v>233</v>
      </c>
      <c r="H158" s="7" t="n">
        <v>0</v>
      </c>
      <c r="I158" s="7" t="s">
        <v>52</v>
      </c>
      <c r="J158" s="7" t="s">
        <v>53</v>
      </c>
      <c r="K158" s="3" t="s">
        <v>54</v>
      </c>
      <c r="L158" s="7" t="s">
        <v>233</v>
      </c>
      <c r="M158" s="7" t="s">
        <v>233</v>
      </c>
      <c r="N158" s="3" t="s">
        <v>55</v>
      </c>
      <c r="O158" s="7" t="s">
        <v>56</v>
      </c>
      <c r="P158" s="3" t="s">
        <v>438</v>
      </c>
      <c r="Q158" s="9" t="s">
        <v>11</v>
      </c>
      <c r="R158" s="4" t="s">
        <v>11</v>
      </c>
      <c r="S158" s="11"/>
      <c r="T158" s="12"/>
      <c r="U158" s="11"/>
      <c r="V158" s="11"/>
      <c r="W158" s="13" t="s">
        <v>57</v>
      </c>
      <c r="X158" s="13" t="n">
        <v>0</v>
      </c>
      <c r="Y158" s="13" t="s">
        <v>439</v>
      </c>
      <c r="Z158" s="13" t="s">
        <v>59</v>
      </c>
      <c r="AA158" s="5" t="s">
        <v>57</v>
      </c>
      <c r="AB158" s="5" t="s">
        <v>57</v>
      </c>
    </row>
    <row r="159" customFormat="false" ht="35.05" hidden="false" customHeight="false" outlineLevel="0" collapsed="false">
      <c r="A159" s="7" t="s">
        <v>440</v>
      </c>
      <c r="B159" s="9" t="s">
        <v>11</v>
      </c>
      <c r="C159" s="9" t="s">
        <v>11</v>
      </c>
      <c r="D159" s="7" t="s">
        <v>398</v>
      </c>
      <c r="E159" s="9" t="s">
        <v>11</v>
      </c>
      <c r="F159" s="8" t="s">
        <v>233</v>
      </c>
      <c r="G159" s="7" t="s">
        <v>233</v>
      </c>
      <c r="H159" s="7" t="n">
        <v>0</v>
      </c>
      <c r="I159" s="7" t="s">
        <v>52</v>
      </c>
      <c r="J159" s="7" t="s">
        <v>53</v>
      </c>
      <c r="K159" s="3" t="s">
        <v>54</v>
      </c>
      <c r="L159" s="7" t="s">
        <v>233</v>
      </c>
      <c r="M159" s="7" t="s">
        <v>233</v>
      </c>
      <c r="N159" s="3" t="s">
        <v>55</v>
      </c>
      <c r="O159" s="7" t="s">
        <v>56</v>
      </c>
      <c r="P159" s="3" t="s">
        <v>441</v>
      </c>
      <c r="Q159" s="9" t="s">
        <v>11</v>
      </c>
      <c r="R159" s="4" t="s">
        <v>11</v>
      </c>
      <c r="S159" s="11"/>
      <c r="T159" s="12"/>
      <c r="U159" s="11"/>
      <c r="V159" s="11"/>
      <c r="W159" s="13" t="s">
        <v>57</v>
      </c>
      <c r="X159" s="13" t="n">
        <v>0</v>
      </c>
      <c r="Y159" s="13" t="s">
        <v>442</v>
      </c>
      <c r="Z159" s="13" t="s">
        <v>59</v>
      </c>
      <c r="AA159" s="5" t="s">
        <v>57</v>
      </c>
      <c r="AB159" s="5" t="s">
        <v>57</v>
      </c>
    </row>
    <row r="160" customFormat="false" ht="35.05" hidden="false" customHeight="false" outlineLevel="0" collapsed="false">
      <c r="A160" s="7" t="s">
        <v>443</v>
      </c>
      <c r="B160" s="9" t="s">
        <v>11</v>
      </c>
      <c r="C160" s="9" t="s">
        <v>11</v>
      </c>
      <c r="D160" s="7" t="s">
        <v>398</v>
      </c>
      <c r="E160" s="9" t="s">
        <v>11</v>
      </c>
      <c r="F160" s="8" t="s">
        <v>233</v>
      </c>
      <c r="G160" s="7" t="s">
        <v>233</v>
      </c>
      <c r="H160" s="7" t="n">
        <v>0</v>
      </c>
      <c r="I160" s="7" t="s">
        <v>52</v>
      </c>
      <c r="J160" s="7" t="s">
        <v>53</v>
      </c>
      <c r="K160" s="3" t="s">
        <v>54</v>
      </c>
      <c r="L160" s="7" t="s">
        <v>233</v>
      </c>
      <c r="M160" s="7" t="s">
        <v>233</v>
      </c>
      <c r="N160" s="3" t="s">
        <v>55</v>
      </c>
      <c r="O160" s="7" t="s">
        <v>56</v>
      </c>
      <c r="P160" s="3" t="s">
        <v>408</v>
      </c>
      <c r="Q160" s="9" t="s">
        <v>11</v>
      </c>
      <c r="R160" s="4" t="s">
        <v>11</v>
      </c>
      <c r="S160" s="11"/>
      <c r="T160" s="12"/>
      <c r="U160" s="11"/>
      <c r="V160" s="11"/>
      <c r="W160" s="13" t="s">
        <v>57</v>
      </c>
      <c r="X160" s="13" t="n">
        <v>0</v>
      </c>
      <c r="Y160" s="13" t="s">
        <v>444</v>
      </c>
      <c r="Z160" s="13" t="s">
        <v>59</v>
      </c>
      <c r="AA160" s="5" t="s">
        <v>57</v>
      </c>
      <c r="AB160" s="5" t="s">
        <v>57</v>
      </c>
    </row>
    <row r="161" customFormat="false" ht="35.05" hidden="false" customHeight="false" outlineLevel="0" collapsed="false">
      <c r="A161" s="7" t="s">
        <v>445</v>
      </c>
      <c r="B161" s="9" t="s">
        <v>11</v>
      </c>
      <c r="C161" s="9" t="s">
        <v>11</v>
      </c>
      <c r="D161" s="7" t="s">
        <v>398</v>
      </c>
      <c r="E161" s="9" t="s">
        <v>11</v>
      </c>
      <c r="F161" s="8" t="s">
        <v>233</v>
      </c>
      <c r="G161" s="7" t="s">
        <v>233</v>
      </c>
      <c r="H161" s="7" t="n">
        <v>0</v>
      </c>
      <c r="I161" s="7" t="s">
        <v>52</v>
      </c>
      <c r="J161" s="7" t="s">
        <v>53</v>
      </c>
      <c r="K161" s="3" t="s">
        <v>54</v>
      </c>
      <c r="L161" s="7" t="s">
        <v>233</v>
      </c>
      <c r="M161" s="7" t="s">
        <v>233</v>
      </c>
      <c r="N161" s="3" t="s">
        <v>55</v>
      </c>
      <c r="O161" s="7" t="s">
        <v>56</v>
      </c>
      <c r="P161" s="3" t="s">
        <v>446</v>
      </c>
      <c r="Q161" s="9" t="s">
        <v>11</v>
      </c>
      <c r="R161" s="4" t="s">
        <v>11</v>
      </c>
      <c r="S161" s="11"/>
      <c r="T161" s="12"/>
      <c r="U161" s="11"/>
      <c r="V161" s="11"/>
      <c r="W161" s="13" t="s">
        <v>57</v>
      </c>
      <c r="X161" s="13" t="n">
        <v>0</v>
      </c>
      <c r="Y161" s="13" t="s">
        <v>447</v>
      </c>
      <c r="Z161" s="13" t="s">
        <v>59</v>
      </c>
      <c r="AA161" s="5" t="s">
        <v>57</v>
      </c>
      <c r="AB161" s="5" t="s">
        <v>57</v>
      </c>
    </row>
    <row r="162" customFormat="false" ht="35.05" hidden="false" customHeight="false" outlineLevel="0" collapsed="false">
      <c r="A162" s="7" t="s">
        <v>448</v>
      </c>
      <c r="B162" s="9" t="s">
        <v>11</v>
      </c>
      <c r="C162" s="9" t="s">
        <v>11</v>
      </c>
      <c r="D162" s="7" t="s">
        <v>398</v>
      </c>
      <c r="E162" s="9" t="s">
        <v>11</v>
      </c>
      <c r="F162" s="8" t="s">
        <v>233</v>
      </c>
      <c r="G162" s="7" t="s">
        <v>233</v>
      </c>
      <c r="H162" s="7" t="n">
        <v>0</v>
      </c>
      <c r="I162" s="7" t="s">
        <v>52</v>
      </c>
      <c r="J162" s="7" t="s">
        <v>53</v>
      </c>
      <c r="K162" s="3" t="s">
        <v>54</v>
      </c>
      <c r="L162" s="7" t="s">
        <v>233</v>
      </c>
      <c r="M162" s="7" t="s">
        <v>233</v>
      </c>
      <c r="N162" s="3" t="s">
        <v>55</v>
      </c>
      <c r="O162" s="7" t="s">
        <v>56</v>
      </c>
      <c r="P162" s="3" t="s">
        <v>449</v>
      </c>
      <c r="Q162" s="9" t="s">
        <v>11</v>
      </c>
      <c r="R162" s="4" t="s">
        <v>11</v>
      </c>
      <c r="S162" s="11"/>
      <c r="T162" s="12"/>
      <c r="U162" s="11"/>
      <c r="V162" s="11"/>
      <c r="W162" s="13" t="s">
        <v>57</v>
      </c>
      <c r="X162" s="13" t="n">
        <v>0</v>
      </c>
      <c r="Y162" s="13" t="s">
        <v>450</v>
      </c>
      <c r="Z162" s="13" t="s">
        <v>59</v>
      </c>
      <c r="AA162" s="5" t="s">
        <v>57</v>
      </c>
      <c r="AB162" s="5" t="s">
        <v>57</v>
      </c>
    </row>
    <row r="163" customFormat="false" ht="35.05" hidden="false" customHeight="false" outlineLevel="0" collapsed="false">
      <c r="A163" s="7" t="s">
        <v>451</v>
      </c>
      <c r="B163" s="9" t="s">
        <v>11</v>
      </c>
      <c r="C163" s="9" t="s">
        <v>11</v>
      </c>
      <c r="D163" s="7" t="s">
        <v>398</v>
      </c>
      <c r="E163" s="9" t="s">
        <v>11</v>
      </c>
      <c r="F163" s="8" t="s">
        <v>233</v>
      </c>
      <c r="G163" s="7" t="s">
        <v>233</v>
      </c>
      <c r="H163" s="7" t="n">
        <v>0</v>
      </c>
      <c r="I163" s="7" t="s">
        <v>52</v>
      </c>
      <c r="J163" s="7" t="s">
        <v>53</v>
      </c>
      <c r="K163" s="3" t="s">
        <v>54</v>
      </c>
      <c r="L163" s="7" t="s">
        <v>233</v>
      </c>
      <c r="M163" s="7" t="s">
        <v>233</v>
      </c>
      <c r="N163" s="3" t="s">
        <v>55</v>
      </c>
      <c r="O163" s="7" t="s">
        <v>56</v>
      </c>
      <c r="P163" s="3" t="s">
        <v>411</v>
      </c>
      <c r="Q163" s="9" t="s">
        <v>11</v>
      </c>
      <c r="R163" s="4" t="s">
        <v>11</v>
      </c>
      <c r="S163" s="11"/>
      <c r="T163" s="12"/>
      <c r="U163" s="11"/>
      <c r="V163" s="11"/>
      <c r="W163" s="13" t="s">
        <v>57</v>
      </c>
      <c r="X163" s="13" t="n">
        <v>0</v>
      </c>
      <c r="Y163" s="13" t="s">
        <v>452</v>
      </c>
      <c r="Z163" s="13" t="s">
        <v>59</v>
      </c>
      <c r="AA163" s="5" t="s">
        <v>57</v>
      </c>
      <c r="AB163" s="5" t="s">
        <v>57</v>
      </c>
    </row>
    <row r="164" customFormat="false" ht="35.05" hidden="false" customHeight="false" outlineLevel="0" collapsed="false">
      <c r="A164" s="7" t="s">
        <v>453</v>
      </c>
      <c r="B164" s="9" t="s">
        <v>11</v>
      </c>
      <c r="C164" s="9" t="s">
        <v>11</v>
      </c>
      <c r="D164" s="7" t="s">
        <v>398</v>
      </c>
      <c r="E164" s="9" t="s">
        <v>11</v>
      </c>
      <c r="F164" s="8" t="s">
        <v>233</v>
      </c>
      <c r="G164" s="7" t="s">
        <v>233</v>
      </c>
      <c r="H164" s="7" t="n">
        <v>0</v>
      </c>
      <c r="I164" s="7" t="s">
        <v>52</v>
      </c>
      <c r="J164" s="7" t="s">
        <v>53</v>
      </c>
      <c r="K164" s="3" t="s">
        <v>54</v>
      </c>
      <c r="L164" s="7" t="s">
        <v>233</v>
      </c>
      <c r="M164" s="7" t="s">
        <v>233</v>
      </c>
      <c r="N164" s="3" t="s">
        <v>55</v>
      </c>
      <c r="O164" s="7" t="s">
        <v>56</v>
      </c>
      <c r="P164" s="3" t="s">
        <v>454</v>
      </c>
      <c r="Q164" s="9" t="s">
        <v>11</v>
      </c>
      <c r="R164" s="4" t="s">
        <v>11</v>
      </c>
      <c r="S164" s="11"/>
      <c r="T164" s="12"/>
      <c r="U164" s="11"/>
      <c r="V164" s="11"/>
      <c r="W164" s="13" t="s">
        <v>57</v>
      </c>
      <c r="X164" s="13" t="n">
        <v>0</v>
      </c>
      <c r="Y164" s="13" t="s">
        <v>455</v>
      </c>
      <c r="Z164" s="13" t="s">
        <v>59</v>
      </c>
      <c r="AA164" s="5" t="s">
        <v>57</v>
      </c>
      <c r="AB164" s="5" t="s">
        <v>57</v>
      </c>
    </row>
    <row r="165" customFormat="false" ht="35.05" hidden="false" customHeight="false" outlineLevel="0" collapsed="false">
      <c r="A165" s="7" t="s">
        <v>456</v>
      </c>
      <c r="B165" s="9" t="s">
        <v>11</v>
      </c>
      <c r="C165" s="9" t="s">
        <v>11</v>
      </c>
      <c r="D165" s="7" t="s">
        <v>398</v>
      </c>
      <c r="E165" s="9" t="s">
        <v>11</v>
      </c>
      <c r="F165" s="8" t="s">
        <v>233</v>
      </c>
      <c r="G165" s="7" t="s">
        <v>233</v>
      </c>
      <c r="H165" s="7" t="n">
        <v>0</v>
      </c>
      <c r="I165" s="7" t="s">
        <v>52</v>
      </c>
      <c r="J165" s="7" t="s">
        <v>53</v>
      </c>
      <c r="K165" s="3" t="s">
        <v>54</v>
      </c>
      <c r="L165" s="7" t="s">
        <v>233</v>
      </c>
      <c r="M165" s="7" t="s">
        <v>233</v>
      </c>
      <c r="N165" s="3" t="s">
        <v>55</v>
      </c>
      <c r="O165" s="7" t="s">
        <v>56</v>
      </c>
      <c r="P165" s="3" t="s">
        <v>457</v>
      </c>
      <c r="Q165" s="9" t="s">
        <v>11</v>
      </c>
      <c r="R165" s="4" t="s">
        <v>11</v>
      </c>
      <c r="S165" s="11"/>
      <c r="T165" s="12"/>
      <c r="U165" s="11"/>
      <c r="V165" s="11"/>
      <c r="W165" s="13" t="s">
        <v>57</v>
      </c>
      <c r="X165" s="13" t="n">
        <v>0</v>
      </c>
      <c r="Y165" s="13" t="s">
        <v>458</v>
      </c>
      <c r="Z165" s="13" t="s">
        <v>59</v>
      </c>
      <c r="AA165" s="5" t="s">
        <v>57</v>
      </c>
      <c r="AB165" s="5" t="s">
        <v>57</v>
      </c>
    </row>
    <row r="166" customFormat="false" ht="35.05" hidden="false" customHeight="false" outlineLevel="0" collapsed="false">
      <c r="A166" s="7" t="s">
        <v>459</v>
      </c>
      <c r="B166" s="9" t="s">
        <v>11</v>
      </c>
      <c r="C166" s="9" t="s">
        <v>11</v>
      </c>
      <c r="D166" s="7" t="s">
        <v>398</v>
      </c>
      <c r="E166" s="9" t="s">
        <v>11</v>
      </c>
      <c r="F166" s="8" t="s">
        <v>233</v>
      </c>
      <c r="G166" s="7" t="s">
        <v>233</v>
      </c>
      <c r="H166" s="7" t="n">
        <v>0</v>
      </c>
      <c r="I166" s="7" t="s">
        <v>52</v>
      </c>
      <c r="J166" s="7" t="s">
        <v>53</v>
      </c>
      <c r="K166" s="3" t="s">
        <v>54</v>
      </c>
      <c r="L166" s="7" t="s">
        <v>233</v>
      </c>
      <c r="M166" s="7" t="s">
        <v>233</v>
      </c>
      <c r="N166" s="3" t="s">
        <v>55</v>
      </c>
      <c r="O166" s="7" t="s">
        <v>56</v>
      </c>
      <c r="P166" s="3" t="s">
        <v>460</v>
      </c>
      <c r="Q166" s="9" t="s">
        <v>11</v>
      </c>
      <c r="R166" s="4" t="s">
        <v>11</v>
      </c>
      <c r="S166" s="11"/>
      <c r="T166" s="12"/>
      <c r="U166" s="11"/>
      <c r="V166" s="11"/>
      <c r="W166" s="13" t="s">
        <v>57</v>
      </c>
      <c r="X166" s="13" t="n">
        <v>0</v>
      </c>
      <c r="Y166" s="13" t="s">
        <v>461</v>
      </c>
      <c r="Z166" s="13" t="s">
        <v>59</v>
      </c>
      <c r="AA166" s="5" t="s">
        <v>57</v>
      </c>
      <c r="AB166" s="5" t="s">
        <v>57</v>
      </c>
    </row>
    <row r="167" customFormat="false" ht="35.05" hidden="false" customHeight="false" outlineLevel="0" collapsed="false">
      <c r="A167" s="7" t="s">
        <v>462</v>
      </c>
      <c r="B167" s="9" t="s">
        <v>11</v>
      </c>
      <c r="C167" s="9" t="s">
        <v>11</v>
      </c>
      <c r="D167" s="7" t="s">
        <v>398</v>
      </c>
      <c r="E167" s="9" t="s">
        <v>11</v>
      </c>
      <c r="F167" s="8" t="s">
        <v>233</v>
      </c>
      <c r="G167" s="7" t="s">
        <v>233</v>
      </c>
      <c r="H167" s="7" t="n">
        <v>0</v>
      </c>
      <c r="I167" s="7" t="s">
        <v>52</v>
      </c>
      <c r="J167" s="7" t="s">
        <v>53</v>
      </c>
      <c r="K167" s="3" t="s">
        <v>54</v>
      </c>
      <c r="L167" s="7" t="s">
        <v>233</v>
      </c>
      <c r="M167" s="7" t="s">
        <v>233</v>
      </c>
      <c r="N167" s="3" t="s">
        <v>55</v>
      </c>
      <c r="O167" s="7" t="s">
        <v>56</v>
      </c>
      <c r="P167" s="3" t="s">
        <v>408</v>
      </c>
      <c r="Q167" s="9" t="s">
        <v>11</v>
      </c>
      <c r="R167" s="4" t="s">
        <v>11</v>
      </c>
      <c r="S167" s="11"/>
      <c r="T167" s="12"/>
      <c r="U167" s="11"/>
      <c r="V167" s="11"/>
      <c r="W167" s="13" t="s">
        <v>57</v>
      </c>
      <c r="X167" s="13" t="n">
        <v>0</v>
      </c>
      <c r="Y167" s="13" t="s">
        <v>463</v>
      </c>
      <c r="Z167" s="13" t="s">
        <v>59</v>
      </c>
      <c r="AA167" s="5" t="s">
        <v>57</v>
      </c>
      <c r="AB167" s="5" t="s">
        <v>57</v>
      </c>
    </row>
    <row r="168" customFormat="false" ht="35.05" hidden="false" customHeight="false" outlineLevel="0" collapsed="false">
      <c r="A168" s="7" t="s">
        <v>464</v>
      </c>
      <c r="B168" s="9" t="s">
        <v>11</v>
      </c>
      <c r="C168" s="9" t="s">
        <v>11</v>
      </c>
      <c r="D168" s="7" t="s">
        <v>398</v>
      </c>
      <c r="E168" s="9" t="s">
        <v>11</v>
      </c>
      <c r="F168" s="8" t="s">
        <v>233</v>
      </c>
      <c r="G168" s="7" t="s">
        <v>233</v>
      </c>
      <c r="H168" s="7" t="n">
        <v>0</v>
      </c>
      <c r="I168" s="7" t="s">
        <v>52</v>
      </c>
      <c r="J168" s="7" t="s">
        <v>53</v>
      </c>
      <c r="K168" s="3" t="s">
        <v>54</v>
      </c>
      <c r="L168" s="7" t="s">
        <v>233</v>
      </c>
      <c r="M168" s="7" t="s">
        <v>233</v>
      </c>
      <c r="N168" s="3" t="s">
        <v>55</v>
      </c>
      <c r="O168" s="7" t="s">
        <v>56</v>
      </c>
      <c r="P168" s="3" t="s">
        <v>465</v>
      </c>
      <c r="Q168" s="9" t="s">
        <v>11</v>
      </c>
      <c r="R168" s="4" t="s">
        <v>11</v>
      </c>
      <c r="S168" s="11"/>
      <c r="T168" s="12"/>
      <c r="U168" s="11"/>
      <c r="V168" s="11"/>
      <c r="W168" s="13" t="s">
        <v>57</v>
      </c>
      <c r="X168" s="13" t="n">
        <v>0</v>
      </c>
      <c r="Y168" s="13" t="s">
        <v>466</v>
      </c>
      <c r="Z168" s="13" t="s">
        <v>59</v>
      </c>
      <c r="AA168" s="5" t="s">
        <v>57</v>
      </c>
      <c r="AB168" s="5" t="s">
        <v>57</v>
      </c>
    </row>
    <row r="169" customFormat="false" ht="35.05" hidden="false" customHeight="false" outlineLevel="0" collapsed="false">
      <c r="A169" s="7" t="s">
        <v>467</v>
      </c>
      <c r="B169" s="9" t="s">
        <v>11</v>
      </c>
      <c r="C169" s="9" t="s">
        <v>11</v>
      </c>
      <c r="D169" s="7" t="s">
        <v>398</v>
      </c>
      <c r="E169" s="9" t="s">
        <v>11</v>
      </c>
      <c r="F169" s="8" t="s">
        <v>233</v>
      </c>
      <c r="G169" s="7" t="s">
        <v>233</v>
      </c>
      <c r="H169" s="7" t="n">
        <v>0</v>
      </c>
      <c r="I169" s="7" t="s">
        <v>52</v>
      </c>
      <c r="J169" s="7" t="s">
        <v>53</v>
      </c>
      <c r="K169" s="3" t="s">
        <v>54</v>
      </c>
      <c r="L169" s="7" t="s">
        <v>233</v>
      </c>
      <c r="M169" s="7" t="s">
        <v>233</v>
      </c>
      <c r="N169" s="3" t="s">
        <v>55</v>
      </c>
      <c r="O169" s="7" t="s">
        <v>56</v>
      </c>
      <c r="P169" s="3" t="s">
        <v>468</v>
      </c>
      <c r="Q169" s="9" t="s">
        <v>11</v>
      </c>
      <c r="R169" s="4" t="s">
        <v>11</v>
      </c>
      <c r="S169" s="11"/>
      <c r="T169" s="12"/>
      <c r="U169" s="11"/>
      <c r="V169" s="11"/>
      <c r="W169" s="13" t="s">
        <v>57</v>
      </c>
      <c r="X169" s="13" t="n">
        <v>0</v>
      </c>
      <c r="Y169" s="13" t="s">
        <v>469</v>
      </c>
      <c r="Z169" s="13" t="s">
        <v>59</v>
      </c>
      <c r="AA169" s="5" t="s">
        <v>57</v>
      </c>
      <c r="AB169" s="5" t="s">
        <v>57</v>
      </c>
    </row>
    <row r="170" customFormat="false" ht="35.05" hidden="false" customHeight="false" outlineLevel="0" collapsed="false">
      <c r="A170" s="7" t="s">
        <v>470</v>
      </c>
      <c r="B170" s="9" t="s">
        <v>11</v>
      </c>
      <c r="C170" s="9" t="s">
        <v>11</v>
      </c>
      <c r="D170" s="7" t="s">
        <v>398</v>
      </c>
      <c r="E170" s="9" t="s">
        <v>11</v>
      </c>
      <c r="F170" s="8" t="s">
        <v>233</v>
      </c>
      <c r="G170" s="7" t="s">
        <v>233</v>
      </c>
      <c r="H170" s="7" t="n">
        <v>0</v>
      </c>
      <c r="I170" s="7" t="s">
        <v>52</v>
      </c>
      <c r="J170" s="7" t="s">
        <v>53</v>
      </c>
      <c r="K170" s="3" t="s">
        <v>54</v>
      </c>
      <c r="L170" s="7" t="s">
        <v>233</v>
      </c>
      <c r="M170" s="7" t="s">
        <v>233</v>
      </c>
      <c r="N170" s="3" t="s">
        <v>55</v>
      </c>
      <c r="O170" s="7" t="s">
        <v>56</v>
      </c>
      <c r="P170" s="3" t="s">
        <v>471</v>
      </c>
      <c r="Q170" s="9" t="s">
        <v>11</v>
      </c>
      <c r="R170" s="4" t="s">
        <v>11</v>
      </c>
      <c r="S170" s="11"/>
      <c r="T170" s="12"/>
      <c r="U170" s="11"/>
      <c r="V170" s="11"/>
      <c r="W170" s="13" t="s">
        <v>57</v>
      </c>
      <c r="X170" s="13" t="n">
        <v>0</v>
      </c>
      <c r="Y170" s="13" t="s">
        <v>472</v>
      </c>
      <c r="Z170" s="13" t="s">
        <v>59</v>
      </c>
      <c r="AA170" s="5" t="s">
        <v>57</v>
      </c>
      <c r="AB170" s="5" t="s">
        <v>57</v>
      </c>
    </row>
    <row r="171" customFormat="false" ht="35.05" hidden="false" customHeight="false" outlineLevel="0" collapsed="false">
      <c r="A171" s="7" t="s">
        <v>473</v>
      </c>
      <c r="B171" s="9" t="s">
        <v>11</v>
      </c>
      <c r="C171" s="9" t="s">
        <v>11</v>
      </c>
      <c r="D171" s="7" t="s">
        <v>398</v>
      </c>
      <c r="E171" s="9" t="s">
        <v>11</v>
      </c>
      <c r="F171" s="8" t="s">
        <v>233</v>
      </c>
      <c r="G171" s="7" t="s">
        <v>233</v>
      </c>
      <c r="H171" s="7" t="n">
        <v>0</v>
      </c>
      <c r="I171" s="7" t="s">
        <v>52</v>
      </c>
      <c r="J171" s="7" t="s">
        <v>53</v>
      </c>
      <c r="K171" s="3" t="s">
        <v>54</v>
      </c>
      <c r="L171" s="7" t="s">
        <v>233</v>
      </c>
      <c r="M171" s="7" t="s">
        <v>233</v>
      </c>
      <c r="N171" s="3" t="s">
        <v>55</v>
      </c>
      <c r="O171" s="7" t="s">
        <v>56</v>
      </c>
      <c r="P171" s="3" t="s">
        <v>474</v>
      </c>
      <c r="Q171" s="9" t="s">
        <v>11</v>
      </c>
      <c r="R171" s="4" t="s">
        <v>11</v>
      </c>
      <c r="S171" s="11"/>
      <c r="T171" s="12"/>
      <c r="U171" s="11"/>
      <c r="V171" s="11"/>
      <c r="W171" s="13" t="s">
        <v>57</v>
      </c>
      <c r="X171" s="13" t="n">
        <v>0</v>
      </c>
      <c r="Y171" s="13" t="s">
        <v>475</v>
      </c>
      <c r="Z171" s="13" t="s">
        <v>59</v>
      </c>
      <c r="AA171" s="5" t="s">
        <v>57</v>
      </c>
      <c r="AB171" s="5" t="s">
        <v>57</v>
      </c>
    </row>
    <row r="172" customFormat="false" ht="35.05" hidden="false" customHeight="false" outlineLevel="0" collapsed="false">
      <c r="A172" s="7" t="s">
        <v>476</v>
      </c>
      <c r="B172" s="9" t="s">
        <v>11</v>
      </c>
      <c r="C172" s="9" t="s">
        <v>11</v>
      </c>
      <c r="D172" s="7" t="s">
        <v>398</v>
      </c>
      <c r="E172" s="9" t="s">
        <v>11</v>
      </c>
      <c r="F172" s="8" t="s">
        <v>233</v>
      </c>
      <c r="G172" s="7" t="s">
        <v>233</v>
      </c>
      <c r="H172" s="7" t="n">
        <v>0</v>
      </c>
      <c r="I172" s="7" t="s">
        <v>52</v>
      </c>
      <c r="J172" s="7" t="s">
        <v>53</v>
      </c>
      <c r="K172" s="3" t="s">
        <v>54</v>
      </c>
      <c r="L172" s="7" t="s">
        <v>233</v>
      </c>
      <c r="M172" s="7" t="s">
        <v>233</v>
      </c>
      <c r="N172" s="3" t="s">
        <v>55</v>
      </c>
      <c r="O172" s="7" t="s">
        <v>56</v>
      </c>
      <c r="P172" s="3" t="s">
        <v>477</v>
      </c>
      <c r="Q172" s="9" t="s">
        <v>11</v>
      </c>
      <c r="R172" s="4" t="s">
        <v>11</v>
      </c>
      <c r="S172" s="11"/>
      <c r="T172" s="12"/>
      <c r="U172" s="11"/>
      <c r="V172" s="11"/>
      <c r="W172" s="13" t="s">
        <v>57</v>
      </c>
      <c r="X172" s="13" t="n">
        <v>0</v>
      </c>
      <c r="Y172" s="13" t="s">
        <v>478</v>
      </c>
      <c r="Z172" s="13" t="s">
        <v>59</v>
      </c>
      <c r="AA172" s="5" t="s">
        <v>57</v>
      </c>
      <c r="AB172" s="5" t="s">
        <v>57</v>
      </c>
    </row>
    <row r="173" customFormat="false" ht="35.05" hidden="false" customHeight="false" outlineLevel="0" collapsed="false">
      <c r="A173" s="7" t="s">
        <v>479</v>
      </c>
      <c r="B173" s="9" t="s">
        <v>11</v>
      </c>
      <c r="C173" s="9" t="s">
        <v>11</v>
      </c>
      <c r="D173" s="7" t="s">
        <v>398</v>
      </c>
      <c r="E173" s="9" t="s">
        <v>11</v>
      </c>
      <c r="F173" s="8" t="s">
        <v>233</v>
      </c>
      <c r="G173" s="7" t="s">
        <v>233</v>
      </c>
      <c r="H173" s="7" t="n">
        <v>0</v>
      </c>
      <c r="I173" s="7" t="s">
        <v>52</v>
      </c>
      <c r="J173" s="7" t="s">
        <v>53</v>
      </c>
      <c r="K173" s="3" t="s">
        <v>54</v>
      </c>
      <c r="L173" s="7" t="s">
        <v>233</v>
      </c>
      <c r="M173" s="7" t="s">
        <v>233</v>
      </c>
      <c r="N173" s="3" t="s">
        <v>55</v>
      </c>
      <c r="O173" s="7" t="s">
        <v>56</v>
      </c>
      <c r="P173" s="3" t="s">
        <v>480</v>
      </c>
      <c r="Q173" s="9" t="s">
        <v>11</v>
      </c>
      <c r="R173" s="4" t="s">
        <v>11</v>
      </c>
      <c r="S173" s="11"/>
      <c r="T173" s="12"/>
      <c r="U173" s="11"/>
      <c r="V173" s="11"/>
      <c r="W173" s="13" t="s">
        <v>57</v>
      </c>
      <c r="X173" s="13" t="n">
        <v>0</v>
      </c>
      <c r="Y173" s="13" t="s">
        <v>481</v>
      </c>
      <c r="Z173" s="13" t="s">
        <v>59</v>
      </c>
      <c r="AA173" s="5" t="s">
        <v>57</v>
      </c>
      <c r="AB173" s="5" t="s">
        <v>57</v>
      </c>
    </row>
    <row r="175" customFormat="false" ht="15" hidden="false" customHeight="false" outlineLevel="0" collapsed="false">
      <c r="A175" s="2" t="s">
        <v>482</v>
      </c>
      <c r="B175" s="2" t="n">
        <f aca="false">COUNTA(A2:A173)</f>
        <v>172</v>
      </c>
    </row>
    <row r="176" customFormat="false" ht="15" hidden="false" customHeight="false" outlineLevel="0" collapsed="false">
      <c r="A176" s="16" t="s">
        <v>50</v>
      </c>
      <c r="B176" s="16" t="n">
        <f aca="false">COUNTIF(D2:D173,A176)</f>
        <v>56</v>
      </c>
    </row>
    <row r="177" customFormat="false" ht="15" hidden="false" customHeight="false" outlineLevel="0" collapsed="false">
      <c r="A177" s="16" t="s">
        <v>254</v>
      </c>
      <c r="B177" s="16" t="n">
        <f aca="false">COUNTIF(D2:D173,A177)</f>
        <v>35</v>
      </c>
    </row>
    <row r="178" customFormat="false" ht="15" hidden="false" customHeight="false" outlineLevel="0" collapsed="false">
      <c r="A178" s="16" t="s">
        <v>398</v>
      </c>
      <c r="B178" s="16" t="n">
        <f aca="false">COUNTIF(D2:D173,A178)</f>
        <v>30</v>
      </c>
    </row>
    <row r="179" customFormat="false" ht="15" hidden="false" customHeight="false" outlineLevel="0" collapsed="false">
      <c r="A179" s="16" t="s">
        <v>312</v>
      </c>
      <c r="B179" s="16" t="n">
        <f aca="false">COUNTIF(D2:D173,A179)</f>
        <v>25</v>
      </c>
    </row>
    <row r="180" customFormat="false" ht="15" hidden="false" customHeight="false" outlineLevel="0" collapsed="false">
      <c r="A180" s="16" t="s">
        <v>359</v>
      </c>
      <c r="B180" s="16" t="n">
        <f aca="false">COUNTIF(D2:D173,A180)</f>
        <v>18</v>
      </c>
    </row>
    <row r="181" customFormat="false" ht="15" hidden="false" customHeight="false" outlineLevel="0" collapsed="false">
      <c r="A181" s="16" t="s">
        <v>232</v>
      </c>
      <c r="B181" s="16" t="n">
        <f aca="false">COUNTIF(D2:D173,A181)</f>
        <v>4</v>
      </c>
    </row>
    <row r="182" customFormat="false" ht="15" hidden="false" customHeight="false" outlineLevel="0" collapsed="false">
      <c r="A182" s="16" t="s">
        <v>218</v>
      </c>
      <c r="B182" s="16" t="n">
        <f aca="false">COUNTIF(D2:D173,A182)</f>
        <v>4</v>
      </c>
    </row>
  </sheetData>
  <autoFilter ref="A1:AB17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3" min="2" style="0" width="44"/>
    <col collapsed="false" customWidth="true" hidden="false" outlineLevel="0" max="4" min="4" style="0" width="22"/>
    <col collapsed="false" customWidth="true" hidden="false" outlineLevel="0" max="6" min="5" style="0" width="12"/>
    <col collapsed="false" customWidth="true" hidden="false" outlineLevel="0" max="7" min="7" style="0" width="60"/>
  </cols>
  <sheetData>
    <row r="1" customFormat="false" ht="15" hidden="false" customHeight="false" outlineLevel="0" collapsed="false">
      <c r="A1" s="17" t="s">
        <v>483</v>
      </c>
      <c r="B1" s="17" t="s">
        <v>484</v>
      </c>
      <c r="C1" s="17" t="s">
        <v>485</v>
      </c>
      <c r="D1" s="17" t="s">
        <v>486</v>
      </c>
      <c r="E1" s="17" t="s">
        <v>487</v>
      </c>
      <c r="F1" s="17" t="s">
        <v>488</v>
      </c>
      <c r="G1" s="17" t="s">
        <v>489</v>
      </c>
    </row>
    <row r="2" customFormat="false" ht="15" hidden="false" customHeight="false" outlineLevel="0" collapsed="false">
      <c r="A2" s="16" t="s">
        <v>49</v>
      </c>
      <c r="B2" s="16" t="s">
        <v>47</v>
      </c>
      <c r="C2" s="16" t="s">
        <v>490</v>
      </c>
      <c r="D2" s="18" t="n">
        <v>100000000</v>
      </c>
      <c r="E2" s="19" t="n">
        <f aca="false">D2/INDEX('1.1 Contratos 5550'!F:F,MATCH(B2,'1.1 Contratos 5550'!A:A,0))</f>
        <v>1</v>
      </c>
      <c r="F2" s="16" t="s">
        <v>59</v>
      </c>
      <c r="G2" s="16"/>
    </row>
    <row r="3" customFormat="false" ht="15" hidden="false" customHeight="false" outlineLevel="0" collapsed="false">
      <c r="A3" s="16" t="s">
        <v>49</v>
      </c>
      <c r="B3" s="16" t="s">
        <v>61</v>
      </c>
      <c r="C3" s="16" t="s">
        <v>491</v>
      </c>
      <c r="D3" s="18" t="n">
        <v>499999998</v>
      </c>
      <c r="E3" s="19" t="n">
        <f aca="false">D3/INDEX('1.1 Contratos 5550'!F:F,MATCH(B3,'1.1 Contratos 5550'!A:A,0))</f>
        <v>0.999999996</v>
      </c>
      <c r="F3" s="16" t="s">
        <v>59</v>
      </c>
      <c r="G3" s="16"/>
    </row>
    <row r="4" customFormat="false" ht="15" hidden="false" customHeight="false" outlineLevel="0" collapsed="false">
      <c r="A4" s="16" t="s">
        <v>49</v>
      </c>
      <c r="B4" s="16" t="s">
        <v>61</v>
      </c>
      <c r="C4" s="16" t="s">
        <v>492</v>
      </c>
      <c r="D4" s="18" t="n">
        <v>1.8</v>
      </c>
      <c r="E4" s="19" t="n">
        <f aca="false">D4/INDEX('1.1 Contratos 5550'!F:F,MATCH(B4,'1.1 Contratos 5550'!A:A,0))</f>
        <v>3.6E-009</v>
      </c>
      <c r="F4" s="16" t="s">
        <v>59</v>
      </c>
      <c r="G4" s="16"/>
    </row>
    <row r="5" customFormat="false" ht="15" hidden="false" customHeight="false" outlineLevel="0" collapsed="false">
      <c r="A5" s="16" t="s">
        <v>49</v>
      </c>
      <c r="B5" s="16" t="s">
        <v>61</v>
      </c>
      <c r="C5" s="16" t="s">
        <v>493</v>
      </c>
      <c r="D5" s="18" t="n">
        <v>0.2</v>
      </c>
      <c r="E5" s="19" t="n">
        <f aca="false">D5/INDEX('1.1 Contratos 5550'!F:F,MATCH(B5,'1.1 Contratos 5550'!A:A,0))</f>
        <v>4E-010</v>
      </c>
      <c r="F5" s="16" t="s">
        <v>59</v>
      </c>
      <c r="G5" s="16"/>
    </row>
    <row r="6" customFormat="false" ht="15" hidden="false" customHeight="false" outlineLevel="0" collapsed="false">
      <c r="A6" s="16" t="s">
        <v>71</v>
      </c>
      <c r="B6" s="16" t="s">
        <v>69</v>
      </c>
      <c r="C6" s="16" t="s">
        <v>490</v>
      </c>
      <c r="D6" s="18" t="n">
        <v>32999998.4</v>
      </c>
      <c r="E6" s="19" t="n">
        <f aca="false">D6/INDEX('1.1 Contratos 5550'!F:F,MATCH(B6,'1.1 Contratos 5550'!A:A,0))</f>
        <v>0.999999951515151</v>
      </c>
      <c r="F6" s="16" t="s">
        <v>59</v>
      </c>
      <c r="G6" s="16"/>
    </row>
    <row r="7" customFormat="false" ht="15" hidden="false" customHeight="false" outlineLevel="0" collapsed="false">
      <c r="A7" s="16" t="s">
        <v>71</v>
      </c>
      <c r="B7" s="16" t="s">
        <v>69</v>
      </c>
      <c r="C7" s="16" t="s">
        <v>397</v>
      </c>
      <c r="D7" s="18" t="n">
        <v>1.6</v>
      </c>
      <c r="E7" s="19" t="n">
        <f aca="false">D7/INDEX('1.1 Contratos 5550'!F:F,MATCH(B7,'1.1 Contratos 5550'!A:A,0))</f>
        <v>4.84848484848485E-008</v>
      </c>
      <c r="F7" s="16" t="s">
        <v>67</v>
      </c>
      <c r="G7" s="16"/>
    </row>
    <row r="8" customFormat="false" ht="15" hidden="false" customHeight="false" outlineLevel="0" collapsed="false">
      <c r="A8" s="16" t="s">
        <v>71</v>
      </c>
      <c r="B8" s="16" t="s">
        <v>69</v>
      </c>
      <c r="C8" s="16" t="s">
        <v>418</v>
      </c>
      <c r="D8" s="18" t="n">
        <v>2E-018</v>
      </c>
      <c r="E8" s="19" t="n">
        <f aca="false">D8/INDEX('1.1 Contratos 5550'!F:F,MATCH(B8,'1.1 Contratos 5550'!A:A,0))</f>
        <v>6.06060606060606E-026</v>
      </c>
      <c r="F8" s="16" t="s">
        <v>67</v>
      </c>
      <c r="G8" s="16"/>
    </row>
    <row r="9" customFormat="false" ht="15" hidden="false" customHeight="false" outlineLevel="0" collapsed="false">
      <c r="A9" s="16" t="s">
        <v>76</v>
      </c>
      <c r="B9" s="16" t="s">
        <v>74</v>
      </c>
      <c r="C9" s="16" t="s">
        <v>490</v>
      </c>
      <c r="D9" s="18" t="n">
        <v>20999996</v>
      </c>
      <c r="E9" s="19" t="n">
        <f aca="false">D9/INDEX('1.1 Contratos 5550'!F:F,MATCH(B9,'1.1 Contratos 5550'!A:A,0))</f>
        <v>0.99999980952381</v>
      </c>
      <c r="F9" s="16" t="s">
        <v>59</v>
      </c>
      <c r="G9" s="16"/>
    </row>
    <row r="10" customFormat="false" ht="15" hidden="false" customHeight="false" outlineLevel="0" collapsed="false">
      <c r="A10" s="16" t="s">
        <v>76</v>
      </c>
      <c r="B10" s="16" t="s">
        <v>74</v>
      </c>
      <c r="C10" s="16" t="s">
        <v>440</v>
      </c>
      <c r="D10" s="18" t="n">
        <v>3.77</v>
      </c>
      <c r="E10" s="19" t="n">
        <f aca="false">D10/INDEX('1.1 Contratos 5550'!F:F,MATCH(B10,'1.1 Contratos 5550'!A:A,0))</f>
        <v>1.7952380952381E-007</v>
      </c>
      <c r="F10" s="16" t="s">
        <v>67</v>
      </c>
      <c r="G10" s="16"/>
    </row>
    <row r="11" customFormat="false" ht="15" hidden="false" customHeight="false" outlineLevel="0" collapsed="false">
      <c r="A11" s="16" t="s">
        <v>76</v>
      </c>
      <c r="B11" s="16" t="s">
        <v>74</v>
      </c>
      <c r="C11" s="16" t="s">
        <v>494</v>
      </c>
      <c r="D11" s="18" t="n">
        <v>0.23</v>
      </c>
      <c r="E11" s="19" t="n">
        <f aca="false">D11/INDEX('1.1 Contratos 5550'!F:F,MATCH(B11,'1.1 Contratos 5550'!A:A,0))</f>
        <v>1.0952380952381E-008</v>
      </c>
      <c r="F11" s="16" t="s">
        <v>59</v>
      </c>
      <c r="G11" s="16"/>
    </row>
    <row r="12" customFormat="false" ht="15" hidden="false" customHeight="false" outlineLevel="0" collapsed="false">
      <c r="A12" s="16" t="s">
        <v>80</v>
      </c>
      <c r="B12" s="16" t="s">
        <v>78</v>
      </c>
      <c r="C12" s="16" t="s">
        <v>490</v>
      </c>
      <c r="D12" s="18" t="n">
        <v>76999991</v>
      </c>
      <c r="E12" s="19" t="n">
        <f aca="false">D12/INDEX('1.1 Contratos 5550'!F:F,MATCH(B12,'1.1 Contratos 5550'!A:A,0))</f>
        <v>0.999999883116883</v>
      </c>
      <c r="F12" s="16" t="s">
        <v>59</v>
      </c>
      <c r="G12" s="16"/>
    </row>
    <row r="13" customFormat="false" ht="15" hidden="false" customHeight="false" outlineLevel="0" collapsed="false">
      <c r="A13" s="16" t="s">
        <v>80</v>
      </c>
      <c r="B13" s="16" t="s">
        <v>78</v>
      </c>
      <c r="C13" s="16" t="s">
        <v>473</v>
      </c>
      <c r="D13" s="18" t="n">
        <v>8.56</v>
      </c>
      <c r="E13" s="19" t="n">
        <f aca="false">D13/INDEX('1.1 Contratos 5550'!F:F,MATCH(B13,'1.1 Contratos 5550'!A:A,0))</f>
        <v>1.11168831168831E-007</v>
      </c>
      <c r="F13" s="16" t="s">
        <v>67</v>
      </c>
      <c r="G13" s="16"/>
    </row>
    <row r="14" customFormat="false" ht="15" hidden="false" customHeight="false" outlineLevel="0" collapsed="false">
      <c r="A14" s="16" t="s">
        <v>80</v>
      </c>
      <c r="B14" s="16" t="s">
        <v>78</v>
      </c>
      <c r="C14" s="16" t="s">
        <v>494</v>
      </c>
      <c r="D14" s="18" t="n">
        <v>0.44</v>
      </c>
      <c r="E14" s="19" t="n">
        <f aca="false">D14/INDEX('1.1 Contratos 5550'!F:F,MATCH(B14,'1.1 Contratos 5550'!A:A,0))</f>
        <v>5.71428571428571E-009</v>
      </c>
      <c r="F14" s="16" t="s">
        <v>59</v>
      </c>
      <c r="G14" s="16"/>
    </row>
    <row r="15" customFormat="false" ht="15" hidden="false" customHeight="false" outlineLevel="0" collapsed="false">
      <c r="A15" s="16" t="s">
        <v>82</v>
      </c>
      <c r="B15" s="16" t="s">
        <v>81</v>
      </c>
      <c r="C15" s="16" t="s">
        <v>495</v>
      </c>
      <c r="D15" s="18" t="n">
        <v>1E+026</v>
      </c>
      <c r="E15" s="19" t="n">
        <f aca="false">D15/INDEX('1.1 Contratos 5550'!F:F,MATCH(B15,'1.1 Contratos 5550'!A:A,0))</f>
        <v>1</v>
      </c>
      <c r="F15" s="16" t="s">
        <v>496</v>
      </c>
      <c r="G15" s="16"/>
    </row>
    <row r="16" customFormat="false" ht="15" hidden="false" customHeight="false" outlineLevel="0" collapsed="false">
      <c r="A16" s="16" t="s">
        <v>82</v>
      </c>
      <c r="B16" s="16" t="s">
        <v>85</v>
      </c>
      <c r="C16" s="16" t="s">
        <v>490</v>
      </c>
      <c r="D16" s="18" t="n">
        <v>99990000</v>
      </c>
      <c r="E16" s="19" t="n">
        <f aca="false">D16/INDEX('1.1 Contratos 5550'!F:F,MATCH(B16,'1.1 Contratos 5550'!A:A,0))</f>
        <v>0.9999</v>
      </c>
      <c r="F16" s="16" t="s">
        <v>59</v>
      </c>
      <c r="G16" s="16"/>
    </row>
    <row r="17" customFormat="false" ht="15" hidden="false" customHeight="false" outlineLevel="0" collapsed="false">
      <c r="A17" s="16" t="s">
        <v>82</v>
      </c>
      <c r="B17" s="16" t="s">
        <v>85</v>
      </c>
      <c r="C17" s="16" t="s">
        <v>497</v>
      </c>
      <c r="D17" s="18" t="n">
        <v>5000</v>
      </c>
      <c r="E17" s="19" t="n">
        <f aca="false">D17/INDEX('1.1 Contratos 5550'!F:F,MATCH(B17,'1.1 Contratos 5550'!A:A,0))</f>
        <v>5E-005</v>
      </c>
      <c r="F17" s="16" t="s">
        <v>59</v>
      </c>
      <c r="G17" s="16"/>
    </row>
    <row r="18" customFormat="false" ht="15" hidden="false" customHeight="false" outlineLevel="0" collapsed="false">
      <c r="A18" s="16" t="s">
        <v>82</v>
      </c>
      <c r="B18" s="16" t="s">
        <v>85</v>
      </c>
      <c r="C18" s="16" t="s">
        <v>498</v>
      </c>
      <c r="D18" s="18" t="n">
        <v>5000</v>
      </c>
      <c r="E18" s="19" t="n">
        <f aca="false">D18/INDEX('1.1 Contratos 5550'!F:F,MATCH(B18,'1.1 Contratos 5550'!A:A,0))</f>
        <v>5E-005</v>
      </c>
      <c r="F18" s="16" t="s">
        <v>59</v>
      </c>
      <c r="G18" s="16"/>
    </row>
    <row r="19" customFormat="false" ht="15" hidden="false" customHeight="false" outlineLevel="0" collapsed="false">
      <c r="A19" s="16" t="s">
        <v>91</v>
      </c>
      <c r="B19" s="16" t="s">
        <v>89</v>
      </c>
      <c r="C19" s="16" t="s">
        <v>499</v>
      </c>
      <c r="D19" s="18" t="n">
        <v>20000000</v>
      </c>
      <c r="E19" s="19" t="n">
        <f aca="false">D19/INDEX('1.1 Contratos 5550'!F:F,MATCH(B19,'1.1 Contratos 5550'!A:A,0))</f>
        <v>0.363636363636364</v>
      </c>
      <c r="F19" s="16" t="s">
        <v>59</v>
      </c>
      <c r="G19" s="16" t="s">
        <v>500</v>
      </c>
    </row>
    <row r="20" customFormat="false" ht="15" hidden="false" customHeight="false" outlineLevel="0" collapsed="false">
      <c r="A20" s="16" t="s">
        <v>91</v>
      </c>
      <c r="B20" s="16" t="s">
        <v>89</v>
      </c>
      <c r="C20" s="16" t="s">
        <v>501</v>
      </c>
      <c r="D20" s="18" t="n">
        <v>20000000</v>
      </c>
      <c r="E20" s="19" t="n">
        <f aca="false">D20/INDEX('1.1 Contratos 5550'!F:F,MATCH(B20,'1.1 Contratos 5550'!A:A,0))</f>
        <v>0.363636363636364</v>
      </c>
      <c r="F20" s="16" t="s">
        <v>59</v>
      </c>
      <c r="G20" s="16" t="s">
        <v>500</v>
      </c>
    </row>
    <row r="21" customFormat="false" ht="15" hidden="false" customHeight="false" outlineLevel="0" collapsed="false">
      <c r="A21" s="16" t="s">
        <v>91</v>
      </c>
      <c r="B21" s="16" t="s">
        <v>89</v>
      </c>
      <c r="C21" s="16" t="s">
        <v>502</v>
      </c>
      <c r="D21" s="18" t="n">
        <v>14899892</v>
      </c>
      <c r="E21" s="19" t="n">
        <f aca="false">D21/INDEX('1.1 Contratos 5550'!F:F,MATCH(B21,'1.1 Contratos 5550'!A:A,0))</f>
        <v>0.270907127272727</v>
      </c>
      <c r="F21" s="16" t="s">
        <v>59</v>
      </c>
      <c r="G21" s="16"/>
    </row>
    <row r="22" customFormat="false" ht="15" hidden="false" customHeight="false" outlineLevel="0" collapsed="false">
      <c r="A22" s="16" t="s">
        <v>91</v>
      </c>
      <c r="B22" s="16" t="s">
        <v>89</v>
      </c>
      <c r="C22" s="16" t="s">
        <v>492</v>
      </c>
      <c r="D22" s="18" t="n">
        <v>90013.0587</v>
      </c>
      <c r="E22" s="19" t="n">
        <f aca="false">D22/INDEX('1.1 Contratos 5550'!F:F,MATCH(B22,'1.1 Contratos 5550'!A:A,0))</f>
        <v>0.00163660106727273</v>
      </c>
      <c r="F22" s="16" t="s">
        <v>59</v>
      </c>
      <c r="G22" s="16"/>
    </row>
    <row r="23" customFormat="false" ht="15" hidden="false" customHeight="false" outlineLevel="0" collapsed="false">
      <c r="A23" s="16" t="s">
        <v>91</v>
      </c>
      <c r="B23" s="16" t="s">
        <v>89</v>
      </c>
      <c r="C23" s="16" t="s">
        <v>503</v>
      </c>
      <c r="D23" s="18" t="n">
        <v>100</v>
      </c>
      <c r="E23" s="19" t="n">
        <f aca="false">D23/INDEX('1.1 Contratos 5550'!F:F,MATCH(B23,'1.1 Contratos 5550'!A:A,0))</f>
        <v>1.81818181818182E-006</v>
      </c>
      <c r="F23" s="16" t="s">
        <v>59</v>
      </c>
      <c r="G23" s="16" t="s">
        <v>500</v>
      </c>
    </row>
    <row r="24" customFormat="false" ht="15" hidden="false" customHeight="false" outlineLevel="0" collapsed="false">
      <c r="A24" s="16" t="s">
        <v>91</v>
      </c>
      <c r="B24" s="16" t="s">
        <v>89</v>
      </c>
      <c r="C24" s="16" t="s">
        <v>504</v>
      </c>
      <c r="D24" s="18" t="n">
        <v>75</v>
      </c>
      <c r="E24" s="19" t="n">
        <f aca="false">D24/INDEX('1.1 Contratos 5550'!F:F,MATCH(B24,'1.1 Contratos 5550'!A:A,0))</f>
        <v>1.36363636363636E-006</v>
      </c>
      <c r="F24" s="16" t="s">
        <v>59</v>
      </c>
      <c r="G24" s="16"/>
    </row>
    <row r="25" customFormat="false" ht="15" hidden="false" customHeight="false" outlineLevel="0" collapsed="false">
      <c r="A25" s="16" t="s">
        <v>91</v>
      </c>
      <c r="B25" s="16" t="s">
        <v>89</v>
      </c>
      <c r="C25" s="16" t="s">
        <v>505</v>
      </c>
      <c r="D25" s="18" t="n">
        <v>45.3</v>
      </c>
      <c r="E25" s="19" t="n">
        <f aca="false">D25/INDEX('1.1 Contratos 5550'!F:F,MATCH(B25,'1.1 Contratos 5550'!A:A,0))</f>
        <v>8.23636363636364E-007</v>
      </c>
      <c r="F25" s="16" t="s">
        <v>59</v>
      </c>
      <c r="G25" s="16"/>
    </row>
    <row r="26" customFormat="false" ht="15" hidden="false" customHeight="false" outlineLevel="0" collapsed="false">
      <c r="A26" s="16" t="s">
        <v>91</v>
      </c>
      <c r="B26" s="16" t="s">
        <v>89</v>
      </c>
      <c r="C26" s="16" t="s">
        <v>497</v>
      </c>
      <c r="D26" s="18" t="n">
        <v>30</v>
      </c>
      <c r="E26" s="19" t="n">
        <f aca="false">D26/INDEX('1.1 Contratos 5550'!F:F,MATCH(B26,'1.1 Contratos 5550'!A:A,0))</f>
        <v>5.45454545454546E-007</v>
      </c>
      <c r="F26" s="16" t="s">
        <v>59</v>
      </c>
      <c r="G26" s="16"/>
    </row>
    <row r="27" customFormat="false" ht="15" hidden="false" customHeight="false" outlineLevel="0" collapsed="false">
      <c r="A27" s="16" t="s">
        <v>91</v>
      </c>
      <c r="B27" s="16" t="s">
        <v>89</v>
      </c>
      <c r="C27" s="16" t="s">
        <v>462</v>
      </c>
      <c r="D27" s="18" t="n">
        <v>9.38926759048</v>
      </c>
      <c r="E27" s="19" t="n">
        <f aca="false">D27/INDEX('1.1 Contratos 5550'!F:F,MATCH(B27,'1.1 Contratos 5550'!A:A,0))</f>
        <v>1.70713956190545E-007</v>
      </c>
      <c r="F27" s="16" t="s">
        <v>67</v>
      </c>
      <c r="G27" s="16"/>
    </row>
    <row r="28" customFormat="false" ht="15" hidden="false" customHeight="false" outlineLevel="0" collapsed="false">
      <c r="A28" s="16" t="s">
        <v>91</v>
      </c>
      <c r="B28" s="16" t="s">
        <v>89</v>
      </c>
      <c r="C28" s="16" t="s">
        <v>506</v>
      </c>
      <c r="D28" s="18" t="n">
        <v>2.5996</v>
      </c>
      <c r="E28" s="19" t="n">
        <f aca="false">D28/INDEX('1.1 Contratos 5550'!F:F,MATCH(B28,'1.1 Contratos 5550'!A:A,0))</f>
        <v>4.72654545454546E-008</v>
      </c>
      <c r="F28" s="16" t="s">
        <v>59</v>
      </c>
      <c r="G28" s="16"/>
    </row>
    <row r="29" customFormat="false" ht="15" hidden="false" customHeight="false" outlineLevel="0" collapsed="false">
      <c r="A29" s="16" t="s">
        <v>91</v>
      </c>
      <c r="B29" s="16" t="s">
        <v>89</v>
      </c>
      <c r="C29" s="16" t="s">
        <v>507</v>
      </c>
      <c r="D29" s="18" t="n">
        <v>2</v>
      </c>
      <c r="E29" s="19" t="n">
        <f aca="false">D29/INDEX('1.1 Contratos 5550'!F:F,MATCH(B29,'1.1 Contratos 5550'!A:A,0))</f>
        <v>3.63636363636364E-008</v>
      </c>
      <c r="F29" s="16" t="s">
        <v>59</v>
      </c>
      <c r="G29" s="16" t="s">
        <v>500</v>
      </c>
    </row>
    <row r="30" customFormat="false" ht="15" hidden="false" customHeight="false" outlineLevel="0" collapsed="false">
      <c r="A30" s="16" t="s">
        <v>91</v>
      </c>
      <c r="B30" s="16" t="s">
        <v>89</v>
      </c>
      <c r="C30" s="16" t="s">
        <v>443</v>
      </c>
      <c r="D30" s="18" t="n">
        <v>2</v>
      </c>
      <c r="E30" s="19" t="n">
        <f aca="false">D30/INDEX('1.1 Contratos 5550'!F:F,MATCH(B30,'1.1 Contratos 5550'!A:A,0))</f>
        <v>3.63636363636363E-008</v>
      </c>
      <c r="F30" s="16" t="s">
        <v>67</v>
      </c>
      <c r="G30" s="16"/>
    </row>
    <row r="31" customFormat="false" ht="15" hidden="false" customHeight="false" outlineLevel="0" collapsed="false">
      <c r="A31" s="16" t="s">
        <v>91</v>
      </c>
      <c r="B31" s="16" t="s">
        <v>89</v>
      </c>
      <c r="C31" s="16" t="s">
        <v>508</v>
      </c>
      <c r="D31" s="18" t="n">
        <v>1</v>
      </c>
      <c r="E31" s="19" t="n">
        <f aca="false">D31/INDEX('1.1 Contratos 5550'!F:F,MATCH(B31,'1.1 Contratos 5550'!A:A,0))</f>
        <v>1.81818181818182E-008</v>
      </c>
      <c r="F31" s="16" t="s">
        <v>59</v>
      </c>
      <c r="G31" s="16"/>
    </row>
    <row r="32" customFormat="false" ht="15" hidden="false" customHeight="false" outlineLevel="0" collapsed="false">
      <c r="A32" s="16" t="s">
        <v>91</v>
      </c>
      <c r="B32" s="16" t="s">
        <v>89</v>
      </c>
      <c r="C32" s="16" t="s">
        <v>509</v>
      </c>
      <c r="D32" s="18" t="n">
        <v>1</v>
      </c>
      <c r="E32" s="19" t="n">
        <f aca="false">D32/INDEX('1.1 Contratos 5550'!F:F,MATCH(B32,'1.1 Contratos 5550'!A:A,0))</f>
        <v>1.81818181818182E-008</v>
      </c>
      <c r="F32" s="16" t="s">
        <v>59</v>
      </c>
      <c r="G32" s="16" t="s">
        <v>500</v>
      </c>
    </row>
    <row r="33" customFormat="false" ht="15" hidden="false" customHeight="false" outlineLevel="0" collapsed="false">
      <c r="A33" s="16" t="s">
        <v>91</v>
      </c>
      <c r="B33" s="16" t="s">
        <v>89</v>
      </c>
      <c r="C33" s="16" t="s">
        <v>510</v>
      </c>
      <c r="D33" s="18" t="n">
        <v>0.99996</v>
      </c>
      <c r="E33" s="19" t="n">
        <f aca="false">D33/INDEX('1.1 Contratos 5550'!F:F,MATCH(B33,'1.1 Contratos 5550'!A:A,0))</f>
        <v>1.81810909090909E-008</v>
      </c>
      <c r="F33" s="16" t="s">
        <v>59</v>
      </c>
      <c r="G33" s="16"/>
    </row>
    <row r="34" customFormat="false" ht="15" hidden="false" customHeight="false" outlineLevel="0" collapsed="false">
      <c r="A34" s="16" t="s">
        <v>91</v>
      </c>
      <c r="B34" s="16" t="s">
        <v>89</v>
      </c>
      <c r="C34" s="16" t="s">
        <v>494</v>
      </c>
      <c r="D34" s="18" t="n">
        <v>0.85321117308119</v>
      </c>
      <c r="E34" s="19" t="n">
        <f aca="false">D34/INDEX('1.1 Contratos 5550'!F:F,MATCH(B34,'1.1 Contratos 5550'!A:A,0))</f>
        <v>1.5512930419658E-008</v>
      </c>
      <c r="F34" s="16" t="s">
        <v>59</v>
      </c>
      <c r="G34" s="16"/>
    </row>
    <row r="35" customFormat="false" ht="15" hidden="false" customHeight="false" outlineLevel="0" collapsed="false">
      <c r="A35" s="16" t="s">
        <v>91</v>
      </c>
      <c r="B35" s="16" t="s">
        <v>89</v>
      </c>
      <c r="C35" s="16" t="s">
        <v>511</v>
      </c>
      <c r="D35" s="18" t="n">
        <v>0.757481236438813</v>
      </c>
      <c r="E35" s="19" t="n">
        <f aca="false">D35/INDEX('1.1 Contratos 5550'!F:F,MATCH(B35,'1.1 Contratos 5550'!A:A,0))</f>
        <v>1.37723861170693E-008</v>
      </c>
      <c r="F35" s="16" t="s">
        <v>59</v>
      </c>
      <c r="G35" s="16"/>
    </row>
    <row r="36" customFormat="false" ht="15" hidden="false" customHeight="false" outlineLevel="0" collapsed="false">
      <c r="A36" s="16" t="s">
        <v>91</v>
      </c>
      <c r="B36" s="16" t="s">
        <v>89</v>
      </c>
      <c r="C36" s="16" t="s">
        <v>512</v>
      </c>
      <c r="D36" s="18" t="n">
        <v>0.35</v>
      </c>
      <c r="E36" s="19" t="n">
        <f aca="false">D36/INDEX('1.1 Contratos 5550'!F:F,MATCH(B36,'1.1 Contratos 5550'!A:A,0))</f>
        <v>6.36363636363636E-009</v>
      </c>
      <c r="F36" s="16" t="s">
        <v>59</v>
      </c>
      <c r="G36" s="16"/>
    </row>
    <row r="37" customFormat="false" ht="15" hidden="false" customHeight="false" outlineLevel="0" collapsed="false">
      <c r="A37" s="16" t="s">
        <v>91</v>
      </c>
      <c r="B37" s="16" t="s">
        <v>89</v>
      </c>
      <c r="C37" s="16" t="s">
        <v>513</v>
      </c>
      <c r="D37" s="18" t="n">
        <v>0.135</v>
      </c>
      <c r="E37" s="19" t="n">
        <f aca="false">D37/INDEX('1.1 Contratos 5550'!F:F,MATCH(B37,'1.1 Contratos 5550'!A:A,0))</f>
        <v>2.45454545454546E-009</v>
      </c>
      <c r="F37" s="16" t="s">
        <v>59</v>
      </c>
      <c r="G37" s="16" t="s">
        <v>500</v>
      </c>
    </row>
    <row r="38" customFormat="false" ht="15" hidden="false" customHeight="false" outlineLevel="0" collapsed="false">
      <c r="A38" s="16" t="s">
        <v>91</v>
      </c>
      <c r="B38" s="16" t="s">
        <v>89</v>
      </c>
      <c r="C38" s="16" t="s">
        <v>514</v>
      </c>
      <c r="D38" s="18" t="n">
        <v>0.1177</v>
      </c>
      <c r="E38" s="19" t="n">
        <f aca="false">D38/INDEX('1.1 Contratos 5550'!F:F,MATCH(B38,'1.1 Contratos 5550'!A:A,0))</f>
        <v>2.14E-009</v>
      </c>
      <c r="F38" s="16" t="s">
        <v>59</v>
      </c>
      <c r="G38" s="16"/>
    </row>
    <row r="39" customFormat="false" ht="15" hidden="false" customHeight="false" outlineLevel="0" collapsed="false">
      <c r="A39" s="16" t="s">
        <v>91</v>
      </c>
      <c r="B39" s="16" t="s">
        <v>89</v>
      </c>
      <c r="C39" s="16" t="s">
        <v>515</v>
      </c>
      <c r="D39" s="18" t="n">
        <v>0.067</v>
      </c>
      <c r="E39" s="19" t="n">
        <f aca="false">D39/INDEX('1.1 Contratos 5550'!F:F,MATCH(B39,'1.1 Contratos 5550'!A:A,0))</f>
        <v>1.21818181818182E-009</v>
      </c>
      <c r="F39" s="16" t="s">
        <v>59</v>
      </c>
      <c r="G39" s="16"/>
    </row>
    <row r="40" customFormat="false" ht="15" hidden="false" customHeight="false" outlineLevel="0" collapsed="false">
      <c r="A40" s="16" t="s">
        <v>91</v>
      </c>
      <c r="B40" s="16" t="s">
        <v>89</v>
      </c>
      <c r="C40" s="16" t="s">
        <v>516</v>
      </c>
      <c r="D40" s="18" t="n">
        <v>0.042</v>
      </c>
      <c r="E40" s="19" t="n">
        <f aca="false">D40/INDEX('1.1 Contratos 5550'!F:F,MATCH(B40,'1.1 Contratos 5550'!A:A,0))</f>
        <v>7.63636363636364E-010</v>
      </c>
      <c r="F40" s="16" t="s">
        <v>59</v>
      </c>
      <c r="G40" s="16"/>
    </row>
    <row r="41" customFormat="false" ht="15" hidden="false" customHeight="false" outlineLevel="0" collapsed="false">
      <c r="A41" s="16" t="s">
        <v>91</v>
      </c>
      <c r="B41" s="16" t="s">
        <v>89</v>
      </c>
      <c r="C41" s="16" t="s">
        <v>517</v>
      </c>
      <c r="D41" s="18" t="n">
        <v>0.032</v>
      </c>
      <c r="E41" s="19" t="n">
        <f aca="false">D41/INDEX('1.1 Contratos 5550'!F:F,MATCH(B41,'1.1 Contratos 5550'!A:A,0))</f>
        <v>5.81818181818182E-010</v>
      </c>
      <c r="F41" s="16" t="s">
        <v>59</v>
      </c>
      <c r="G41" s="16"/>
    </row>
    <row r="42" customFormat="false" ht="15" hidden="false" customHeight="false" outlineLevel="0" collapsed="false">
      <c r="A42" s="16" t="s">
        <v>91</v>
      </c>
      <c r="B42" s="16" t="s">
        <v>89</v>
      </c>
      <c r="C42" s="16" t="s">
        <v>518</v>
      </c>
      <c r="D42" s="18" t="n">
        <v>0.032</v>
      </c>
      <c r="E42" s="19" t="n">
        <f aca="false">D42/INDEX('1.1 Contratos 5550'!F:F,MATCH(B42,'1.1 Contratos 5550'!A:A,0))</f>
        <v>5.81818181818182E-010</v>
      </c>
      <c r="F42" s="16" t="s">
        <v>59</v>
      </c>
      <c r="G42" s="16"/>
    </row>
    <row r="43" customFormat="false" ht="15" hidden="false" customHeight="false" outlineLevel="0" collapsed="false">
      <c r="A43" s="16" t="s">
        <v>91</v>
      </c>
      <c r="B43" s="16" t="s">
        <v>89</v>
      </c>
      <c r="C43" s="16" t="s">
        <v>519</v>
      </c>
      <c r="D43" s="18" t="n">
        <v>0.032</v>
      </c>
      <c r="E43" s="19" t="n">
        <f aca="false">D43/INDEX('1.1 Contratos 5550'!F:F,MATCH(B43,'1.1 Contratos 5550'!A:A,0))</f>
        <v>5.81818181818182E-010</v>
      </c>
      <c r="F43" s="16" t="s">
        <v>59</v>
      </c>
      <c r="G43" s="16"/>
    </row>
    <row r="44" customFormat="false" ht="15" hidden="false" customHeight="false" outlineLevel="0" collapsed="false">
      <c r="A44" s="16" t="s">
        <v>91</v>
      </c>
      <c r="B44" s="16" t="s">
        <v>89</v>
      </c>
      <c r="C44" s="16" t="s">
        <v>520</v>
      </c>
      <c r="D44" s="18" t="n">
        <v>0.032</v>
      </c>
      <c r="E44" s="19" t="n">
        <f aca="false">D44/INDEX('1.1 Contratos 5550'!F:F,MATCH(B44,'1.1 Contratos 5550'!A:A,0))</f>
        <v>5.81818181818182E-010</v>
      </c>
      <c r="F44" s="16" t="s">
        <v>59</v>
      </c>
      <c r="G44" s="16"/>
    </row>
    <row r="45" customFormat="false" ht="15" hidden="false" customHeight="false" outlineLevel="0" collapsed="false">
      <c r="A45" s="16" t="s">
        <v>91</v>
      </c>
      <c r="B45" s="16" t="s">
        <v>89</v>
      </c>
      <c r="C45" s="16" t="s">
        <v>521</v>
      </c>
      <c r="D45" s="18" t="n">
        <v>0.032</v>
      </c>
      <c r="E45" s="19" t="n">
        <f aca="false">D45/INDEX('1.1 Contratos 5550'!F:F,MATCH(B45,'1.1 Contratos 5550'!A:A,0))</f>
        <v>5.81818181818182E-010</v>
      </c>
      <c r="F45" s="16" t="s">
        <v>59</v>
      </c>
      <c r="G45" s="16"/>
    </row>
    <row r="46" customFormat="false" ht="15" hidden="false" customHeight="false" outlineLevel="0" collapsed="false">
      <c r="A46" s="16" t="s">
        <v>91</v>
      </c>
      <c r="B46" s="16" t="s">
        <v>89</v>
      </c>
      <c r="C46" s="16" t="s">
        <v>522</v>
      </c>
      <c r="D46" s="18" t="n">
        <v>0.032</v>
      </c>
      <c r="E46" s="19" t="n">
        <f aca="false">D46/INDEX('1.1 Contratos 5550'!F:F,MATCH(B46,'1.1 Contratos 5550'!A:A,0))</f>
        <v>5.81818181818182E-010</v>
      </c>
      <c r="F46" s="16" t="s">
        <v>59</v>
      </c>
      <c r="G46" s="16"/>
    </row>
    <row r="47" customFormat="false" ht="15" hidden="false" customHeight="false" outlineLevel="0" collapsed="false">
      <c r="A47" s="16" t="s">
        <v>91</v>
      </c>
      <c r="B47" s="16" t="s">
        <v>89</v>
      </c>
      <c r="C47" s="16" t="s">
        <v>523</v>
      </c>
      <c r="D47" s="18" t="n">
        <v>0.032</v>
      </c>
      <c r="E47" s="19" t="n">
        <f aca="false">D47/INDEX('1.1 Contratos 5550'!F:F,MATCH(B47,'1.1 Contratos 5550'!A:A,0))</f>
        <v>5.81818181818182E-010</v>
      </c>
      <c r="F47" s="16" t="s">
        <v>59</v>
      </c>
      <c r="G47" s="16"/>
    </row>
    <row r="48" customFormat="false" ht="15" hidden="false" customHeight="false" outlineLevel="0" collapsed="false">
      <c r="A48" s="16" t="s">
        <v>91</v>
      </c>
      <c r="B48" s="16" t="s">
        <v>89</v>
      </c>
      <c r="C48" s="16" t="s">
        <v>524</v>
      </c>
      <c r="D48" s="18" t="n">
        <v>0.032</v>
      </c>
      <c r="E48" s="19" t="n">
        <f aca="false">D48/INDEX('1.1 Contratos 5550'!F:F,MATCH(B48,'1.1 Contratos 5550'!A:A,0))</f>
        <v>5.81818181818182E-010</v>
      </c>
      <c r="F48" s="16" t="s">
        <v>59</v>
      </c>
      <c r="G48" s="16"/>
    </row>
    <row r="49" customFormat="false" ht="15" hidden="false" customHeight="false" outlineLevel="0" collapsed="false">
      <c r="A49" s="16" t="s">
        <v>91</v>
      </c>
      <c r="B49" s="16" t="s">
        <v>89</v>
      </c>
      <c r="C49" s="16" t="s">
        <v>525</v>
      </c>
      <c r="D49" s="18" t="n">
        <v>0.032</v>
      </c>
      <c r="E49" s="19" t="n">
        <f aca="false">D49/INDEX('1.1 Contratos 5550'!F:F,MATCH(B49,'1.1 Contratos 5550'!A:A,0))</f>
        <v>5.81818181818182E-010</v>
      </c>
      <c r="F49" s="16" t="s">
        <v>59</v>
      </c>
      <c r="G49" s="16"/>
    </row>
    <row r="50" customFormat="false" ht="15" hidden="false" customHeight="false" outlineLevel="0" collapsed="false">
      <c r="A50" s="16" t="s">
        <v>91</v>
      </c>
      <c r="B50" s="16" t="s">
        <v>89</v>
      </c>
      <c r="C50" s="16" t="s">
        <v>526</v>
      </c>
      <c r="D50" s="18" t="n">
        <v>0.032</v>
      </c>
      <c r="E50" s="19" t="n">
        <f aca="false">D50/INDEX('1.1 Contratos 5550'!F:F,MATCH(B50,'1.1 Contratos 5550'!A:A,0))</f>
        <v>5.81818181818182E-010</v>
      </c>
      <c r="F50" s="16" t="s">
        <v>59</v>
      </c>
      <c r="G50" s="16"/>
    </row>
    <row r="51" customFormat="false" ht="15" hidden="false" customHeight="false" outlineLevel="0" collapsed="false">
      <c r="A51" s="16" t="s">
        <v>91</v>
      </c>
      <c r="B51" s="16" t="s">
        <v>89</v>
      </c>
      <c r="C51" s="16" t="s">
        <v>527</v>
      </c>
      <c r="D51" s="18" t="n">
        <v>8E-005</v>
      </c>
      <c r="E51" s="19" t="n">
        <f aca="false">D51/INDEX('1.1 Contratos 5550'!F:F,MATCH(B51,'1.1 Contratos 5550'!A:A,0))</f>
        <v>1.45454545454545E-012</v>
      </c>
      <c r="F51" s="16" t="s">
        <v>59</v>
      </c>
      <c r="G51" s="16"/>
    </row>
    <row r="52" customFormat="false" ht="15" hidden="false" customHeight="false" outlineLevel="0" collapsed="false">
      <c r="A52" s="16" t="s">
        <v>91</v>
      </c>
      <c r="B52" s="16" t="s">
        <v>89</v>
      </c>
      <c r="C52" s="16" t="s">
        <v>407</v>
      </c>
      <c r="D52" s="18" t="n">
        <v>2.208E-015</v>
      </c>
      <c r="E52" s="19" t="n">
        <f aca="false">D52/INDEX('1.1 Contratos 5550'!F:F,MATCH(B52,'1.1 Contratos 5550'!A:A,0))</f>
        <v>4.01454545454545E-023</v>
      </c>
      <c r="F52" s="16" t="s">
        <v>67</v>
      </c>
      <c r="G52" s="16"/>
    </row>
    <row r="53" customFormat="false" ht="15" hidden="false" customHeight="false" outlineLevel="0" collapsed="false">
      <c r="A53" s="16" t="s">
        <v>91</v>
      </c>
      <c r="B53" s="16" t="s">
        <v>89</v>
      </c>
      <c r="C53" s="16" t="s">
        <v>528</v>
      </c>
      <c r="D53" s="18" t="n">
        <v>1.72E-015</v>
      </c>
      <c r="E53" s="19" t="n">
        <f aca="false">D53/INDEX('1.1 Contratos 5550'!F:F,MATCH(B53,'1.1 Contratos 5550'!A:A,0))</f>
        <v>3.12727272727273E-023</v>
      </c>
      <c r="F53" s="16" t="s">
        <v>59</v>
      </c>
      <c r="G53" s="16" t="s">
        <v>500</v>
      </c>
    </row>
    <row r="54" customFormat="false" ht="15" hidden="false" customHeight="false" outlineLevel="0" collapsed="false">
      <c r="A54" s="16" t="s">
        <v>110</v>
      </c>
      <c r="B54" s="16" t="s">
        <v>108</v>
      </c>
      <c r="C54" s="16" t="s">
        <v>490</v>
      </c>
      <c r="D54" s="18" t="n">
        <v>999999000000</v>
      </c>
      <c r="E54" s="19" t="n">
        <f aca="false">D54/INDEX('1.1 Contratos 5550'!F:F,MATCH(B54,'1.1 Contratos 5550'!A:A,0))</f>
        <v>0.999999</v>
      </c>
      <c r="F54" s="16" t="s">
        <v>59</v>
      </c>
      <c r="G54" s="16"/>
    </row>
    <row r="55" customFormat="false" ht="15" hidden="false" customHeight="false" outlineLevel="0" collapsed="false">
      <c r="A55" s="16" t="s">
        <v>110</v>
      </c>
      <c r="B55" s="16" t="s">
        <v>108</v>
      </c>
      <c r="C55" s="16" t="s">
        <v>529</v>
      </c>
      <c r="D55" s="18" t="n">
        <v>998400.01</v>
      </c>
      <c r="E55" s="19" t="n">
        <f aca="false">D55/INDEX('1.1 Contratos 5550'!F:F,MATCH(B55,'1.1 Contratos 5550'!A:A,0))</f>
        <v>9.9840001E-007</v>
      </c>
      <c r="F55" s="16" t="s">
        <v>59</v>
      </c>
      <c r="G55" s="16"/>
    </row>
    <row r="56" customFormat="false" ht="15" hidden="false" customHeight="false" outlineLevel="0" collapsed="false">
      <c r="A56" s="16" t="s">
        <v>110</v>
      </c>
      <c r="B56" s="16" t="s">
        <v>108</v>
      </c>
      <c r="C56" s="16" t="s">
        <v>492</v>
      </c>
      <c r="D56" s="18" t="n">
        <v>1333.33</v>
      </c>
      <c r="E56" s="19" t="n">
        <f aca="false">D56/INDEX('1.1 Contratos 5550'!F:F,MATCH(B56,'1.1 Contratos 5550'!A:A,0))</f>
        <v>1.33333E-009</v>
      </c>
      <c r="F56" s="16" t="s">
        <v>59</v>
      </c>
      <c r="G56" s="16"/>
    </row>
    <row r="57" customFormat="false" ht="15" hidden="false" customHeight="false" outlineLevel="0" collapsed="false">
      <c r="A57" s="16" t="s">
        <v>110</v>
      </c>
      <c r="B57" s="16" t="s">
        <v>108</v>
      </c>
      <c r="C57" s="16" t="s">
        <v>499</v>
      </c>
      <c r="D57" s="18" t="n">
        <v>266.66</v>
      </c>
      <c r="E57" s="19" t="n">
        <f aca="false">D57/INDEX('1.1 Contratos 5550'!F:F,MATCH(B57,'1.1 Contratos 5550'!A:A,0))</f>
        <v>2.6666E-010</v>
      </c>
      <c r="F57" s="16" t="s">
        <v>59</v>
      </c>
      <c r="G57" s="16" t="s">
        <v>500</v>
      </c>
    </row>
    <row r="58" customFormat="false" ht="15" hidden="false" customHeight="false" outlineLevel="0" collapsed="false">
      <c r="A58" s="16" t="s">
        <v>110</v>
      </c>
      <c r="B58" s="16" t="s">
        <v>116</v>
      </c>
      <c r="C58" s="16" t="s">
        <v>495</v>
      </c>
      <c r="D58" s="18" t="n">
        <v>1E+030</v>
      </c>
      <c r="E58" s="19" t="n">
        <f aca="false">D58/INDEX('1.1 Contratos 5550'!F:F,MATCH(B58,'1.1 Contratos 5550'!A:A,0))</f>
        <v>1</v>
      </c>
      <c r="F58" s="16" t="s">
        <v>496</v>
      </c>
      <c r="G58" s="16"/>
    </row>
    <row r="59" customFormat="false" ht="15" hidden="false" customHeight="false" outlineLevel="0" collapsed="false">
      <c r="A59" s="16" t="s">
        <v>110</v>
      </c>
      <c r="B59" s="16" t="s">
        <v>120</v>
      </c>
      <c r="C59" s="16" t="s">
        <v>495</v>
      </c>
      <c r="D59" s="18" t="n">
        <v>1E+030</v>
      </c>
      <c r="E59" s="19" t="n">
        <f aca="false">D59/INDEX('1.1 Contratos 5550'!F:F,MATCH(B59,'1.1 Contratos 5550'!A:A,0))</f>
        <v>1</v>
      </c>
      <c r="F59" s="16" t="s">
        <v>496</v>
      </c>
      <c r="G59" s="16"/>
    </row>
    <row r="60" customFormat="false" ht="15" hidden="false" customHeight="false" outlineLevel="0" collapsed="false">
      <c r="A60" s="16" t="s">
        <v>110</v>
      </c>
      <c r="B60" s="16" t="s">
        <v>121</v>
      </c>
      <c r="C60" s="16" t="s">
        <v>495</v>
      </c>
      <c r="D60" s="18" t="n">
        <v>1E+030</v>
      </c>
      <c r="E60" s="19" t="n">
        <f aca="false">D60/INDEX('1.1 Contratos 5550'!F:F,MATCH(B60,'1.1 Contratos 5550'!A:A,0))</f>
        <v>1</v>
      </c>
      <c r="F60" s="16" t="s">
        <v>496</v>
      </c>
      <c r="G60" s="16"/>
    </row>
    <row r="61" customFormat="false" ht="15" hidden="false" customHeight="false" outlineLevel="0" collapsed="false">
      <c r="A61" s="16" t="s">
        <v>110</v>
      </c>
      <c r="B61" s="16" t="s">
        <v>122</v>
      </c>
      <c r="C61" s="16" t="s">
        <v>495</v>
      </c>
      <c r="D61" s="18" t="n">
        <v>1E+026</v>
      </c>
      <c r="E61" s="19" t="n">
        <f aca="false">D61/INDEX('1.1 Contratos 5550'!F:F,MATCH(B61,'1.1 Contratos 5550'!A:A,0))</f>
        <v>1</v>
      </c>
      <c r="F61" s="16" t="s">
        <v>496</v>
      </c>
      <c r="G61" s="16"/>
    </row>
    <row r="62" customFormat="false" ht="15" hidden="false" customHeight="false" outlineLevel="0" collapsed="false">
      <c r="A62" s="16" t="s">
        <v>110</v>
      </c>
      <c r="B62" s="16" t="s">
        <v>123</v>
      </c>
      <c r="C62" s="16" t="s">
        <v>495</v>
      </c>
      <c r="D62" s="18" t="n">
        <v>1E+030</v>
      </c>
      <c r="E62" s="19" t="n">
        <f aca="false">D62/INDEX('1.1 Contratos 5550'!F:F,MATCH(B62,'1.1 Contratos 5550'!A:A,0))</f>
        <v>1</v>
      </c>
      <c r="F62" s="16" t="s">
        <v>496</v>
      </c>
      <c r="G62" s="16"/>
    </row>
    <row r="63" customFormat="false" ht="15" hidden="false" customHeight="false" outlineLevel="0" collapsed="false">
      <c r="A63" s="16" t="s">
        <v>110</v>
      </c>
      <c r="B63" s="16" t="s">
        <v>124</v>
      </c>
      <c r="C63" s="16" t="s">
        <v>495</v>
      </c>
      <c r="D63" s="18" t="n">
        <v>1E+027</v>
      </c>
      <c r="E63" s="19" t="n">
        <f aca="false">D63/INDEX('1.1 Contratos 5550'!F:F,MATCH(B63,'1.1 Contratos 5550'!A:A,0))</f>
        <v>1</v>
      </c>
      <c r="F63" s="16" t="s">
        <v>496</v>
      </c>
      <c r="G63" s="16"/>
    </row>
    <row r="64" customFormat="false" ht="15" hidden="false" customHeight="false" outlineLevel="0" collapsed="false">
      <c r="A64" s="16" t="s">
        <v>110</v>
      </c>
      <c r="B64" s="16" t="s">
        <v>125</v>
      </c>
      <c r="C64" s="16" t="s">
        <v>495</v>
      </c>
      <c r="D64" s="18" t="n">
        <v>1E+030</v>
      </c>
      <c r="E64" s="19" t="n">
        <f aca="false">D64/INDEX('1.1 Contratos 5550'!F:F,MATCH(B64,'1.1 Contratos 5550'!A:A,0))</f>
        <v>1</v>
      </c>
      <c r="F64" s="16" t="s">
        <v>496</v>
      </c>
      <c r="G64" s="16"/>
    </row>
    <row r="65" customFormat="false" ht="15" hidden="false" customHeight="false" outlineLevel="0" collapsed="false">
      <c r="A65" s="16" t="s">
        <v>110</v>
      </c>
      <c r="B65" s="16" t="s">
        <v>126</v>
      </c>
      <c r="C65" s="16" t="s">
        <v>495</v>
      </c>
      <c r="D65" s="18" t="n">
        <v>1E+030</v>
      </c>
      <c r="E65" s="19" t="n">
        <f aca="false">D65/INDEX('1.1 Contratos 5550'!F:F,MATCH(B65,'1.1 Contratos 5550'!A:A,0))</f>
        <v>1</v>
      </c>
      <c r="F65" s="16" t="s">
        <v>496</v>
      </c>
      <c r="G65" s="16"/>
    </row>
    <row r="66" customFormat="false" ht="15" hidden="false" customHeight="false" outlineLevel="0" collapsed="false">
      <c r="A66" s="16" t="s">
        <v>110</v>
      </c>
      <c r="B66" s="16" t="s">
        <v>127</v>
      </c>
      <c r="C66" s="16" t="s">
        <v>495</v>
      </c>
      <c r="D66" s="18" t="n">
        <v>1E+026</v>
      </c>
      <c r="E66" s="19" t="n">
        <f aca="false">D66/INDEX('1.1 Contratos 5550'!F:F,MATCH(B66,'1.1 Contratos 5550'!A:A,0))</f>
        <v>1</v>
      </c>
      <c r="F66" s="16" t="s">
        <v>496</v>
      </c>
      <c r="G66" s="16"/>
    </row>
    <row r="67" customFormat="false" ht="15" hidden="false" customHeight="false" outlineLevel="0" collapsed="false">
      <c r="A67" s="16" t="s">
        <v>110</v>
      </c>
      <c r="B67" s="16" t="s">
        <v>128</v>
      </c>
      <c r="C67" s="16" t="s">
        <v>490</v>
      </c>
      <c r="D67" s="18" t="n">
        <v>1000000000000</v>
      </c>
      <c r="E67" s="19" t="n">
        <f aca="false">D67/INDEX('1.1 Contratos 5550'!F:F,MATCH(B67,'1.1 Contratos 5550'!A:A,0))</f>
        <v>1</v>
      </c>
      <c r="F67" s="16" t="s">
        <v>59</v>
      </c>
      <c r="G67" s="16"/>
    </row>
    <row r="68" customFormat="false" ht="15" hidden="false" customHeight="false" outlineLevel="0" collapsed="false">
      <c r="A68" s="16" t="s">
        <v>110</v>
      </c>
      <c r="B68" s="16" t="s">
        <v>130</v>
      </c>
      <c r="C68" s="16" t="s">
        <v>495</v>
      </c>
      <c r="D68" s="18" t="n">
        <v>1E+030</v>
      </c>
      <c r="E68" s="19" t="n">
        <f aca="false">D68/INDEX('1.1 Contratos 5550'!F:F,MATCH(B68,'1.1 Contratos 5550'!A:A,0))</f>
        <v>1</v>
      </c>
      <c r="F68" s="16" t="s">
        <v>496</v>
      </c>
      <c r="G68" s="16"/>
    </row>
    <row r="69" customFormat="false" ht="15" hidden="false" customHeight="false" outlineLevel="0" collapsed="false">
      <c r="A69" s="16" t="s">
        <v>110</v>
      </c>
      <c r="B69" s="16" t="s">
        <v>131</v>
      </c>
      <c r="C69" s="16" t="s">
        <v>495</v>
      </c>
      <c r="D69" s="18" t="n">
        <v>1E+030</v>
      </c>
      <c r="E69" s="19" t="n">
        <f aca="false">D69/INDEX('1.1 Contratos 5550'!F:F,MATCH(B69,'1.1 Contratos 5550'!A:A,0))</f>
        <v>1</v>
      </c>
      <c r="F69" s="16" t="s">
        <v>496</v>
      </c>
      <c r="G69" s="16"/>
    </row>
    <row r="70" customFormat="false" ht="15" hidden="false" customHeight="false" outlineLevel="0" collapsed="false">
      <c r="A70" s="16" t="s">
        <v>110</v>
      </c>
      <c r="B70" s="16" t="s">
        <v>132</v>
      </c>
      <c r="C70" s="16" t="s">
        <v>495</v>
      </c>
      <c r="D70" s="18" t="n">
        <v>1E+026</v>
      </c>
      <c r="E70" s="19" t="n">
        <f aca="false">D70/INDEX('1.1 Contratos 5550'!F:F,MATCH(B70,'1.1 Contratos 5550'!A:A,0))</f>
        <v>1</v>
      </c>
      <c r="F70" s="16" t="s">
        <v>496</v>
      </c>
      <c r="G70" s="16"/>
    </row>
    <row r="71" customFormat="false" ht="15" hidden="false" customHeight="false" outlineLevel="0" collapsed="false">
      <c r="A71" s="16" t="s">
        <v>110</v>
      </c>
      <c r="B71" s="16" t="s">
        <v>133</v>
      </c>
      <c r="C71" s="16" t="s">
        <v>495</v>
      </c>
      <c r="D71" s="18" t="n">
        <v>1E+030</v>
      </c>
      <c r="E71" s="19" t="n">
        <f aca="false">D71/INDEX('1.1 Contratos 5550'!F:F,MATCH(B71,'1.1 Contratos 5550'!A:A,0))</f>
        <v>1</v>
      </c>
      <c r="F71" s="16" t="s">
        <v>496</v>
      </c>
      <c r="G71" s="16"/>
    </row>
    <row r="72" customFormat="false" ht="15" hidden="false" customHeight="false" outlineLevel="0" collapsed="false">
      <c r="A72" s="16" t="s">
        <v>136</v>
      </c>
      <c r="B72" s="16" t="s">
        <v>134</v>
      </c>
      <c r="C72" s="16" t="s">
        <v>490</v>
      </c>
      <c r="D72" s="18" t="n">
        <v>498000000</v>
      </c>
      <c r="E72" s="19" t="n">
        <f aca="false">D72/INDEX('1.1 Contratos 5550'!F:F,MATCH(B72,'1.1 Contratos 5550'!A:A,0))</f>
        <v>0.996</v>
      </c>
      <c r="F72" s="16" t="s">
        <v>59</v>
      </c>
      <c r="G72" s="16"/>
    </row>
    <row r="73" customFormat="false" ht="15" hidden="false" customHeight="false" outlineLevel="0" collapsed="false">
      <c r="A73" s="16" t="s">
        <v>136</v>
      </c>
      <c r="B73" s="16" t="s">
        <v>134</v>
      </c>
      <c r="C73" s="16" t="s">
        <v>134</v>
      </c>
      <c r="D73" s="18" t="n">
        <v>1000000</v>
      </c>
      <c r="E73" s="19" t="n">
        <f aca="false">D73/INDEX('1.1 Contratos 5550'!F:F,MATCH(B73,'1.1 Contratos 5550'!A:A,0))</f>
        <v>0.002</v>
      </c>
      <c r="F73" s="16" t="s">
        <v>67</v>
      </c>
      <c r="G73" s="16"/>
    </row>
    <row r="74" customFormat="false" ht="15" hidden="false" customHeight="false" outlineLevel="0" collapsed="false">
      <c r="A74" s="16" t="s">
        <v>136</v>
      </c>
      <c r="B74" s="16" t="s">
        <v>134</v>
      </c>
      <c r="C74" s="16" t="s">
        <v>530</v>
      </c>
      <c r="D74" s="18" t="n">
        <v>999988</v>
      </c>
      <c r="E74" s="19" t="n">
        <f aca="false">D74/INDEX('1.1 Contratos 5550'!F:F,MATCH(B74,'1.1 Contratos 5550'!A:A,0))</f>
        <v>0.001999976</v>
      </c>
      <c r="F74" s="16" t="s">
        <v>59</v>
      </c>
      <c r="G74" s="16"/>
    </row>
    <row r="75" customFormat="false" ht="15" hidden="false" customHeight="false" outlineLevel="0" collapsed="false">
      <c r="A75" s="16" t="s">
        <v>136</v>
      </c>
      <c r="B75" s="16" t="s">
        <v>134</v>
      </c>
      <c r="C75" s="16" t="s">
        <v>531</v>
      </c>
      <c r="D75" s="18" t="n">
        <v>10</v>
      </c>
      <c r="E75" s="19" t="n">
        <f aca="false">D75/INDEX('1.1 Contratos 5550'!F:F,MATCH(B75,'1.1 Contratos 5550'!A:A,0))</f>
        <v>2E-008</v>
      </c>
      <c r="F75" s="16" t="s">
        <v>59</v>
      </c>
      <c r="G75" s="16"/>
    </row>
    <row r="76" customFormat="false" ht="15" hidden="false" customHeight="false" outlineLevel="0" collapsed="false">
      <c r="A76" s="16" t="s">
        <v>136</v>
      </c>
      <c r="B76" s="16" t="s">
        <v>134</v>
      </c>
      <c r="C76" s="16" t="s">
        <v>532</v>
      </c>
      <c r="D76" s="18" t="n">
        <v>2</v>
      </c>
      <c r="E76" s="19" t="n">
        <f aca="false">D76/INDEX('1.1 Contratos 5550'!F:F,MATCH(B76,'1.1 Contratos 5550'!A:A,0))</f>
        <v>4E-009</v>
      </c>
      <c r="F76" s="16" t="s">
        <v>59</v>
      </c>
      <c r="G76" s="16"/>
    </row>
    <row r="77" customFormat="false" ht="15" hidden="false" customHeight="false" outlineLevel="0" collapsed="false">
      <c r="A77" s="16" t="s">
        <v>136</v>
      </c>
      <c r="B77" s="16" t="s">
        <v>139</v>
      </c>
      <c r="C77" s="16" t="s">
        <v>490</v>
      </c>
      <c r="D77" s="18" t="n">
        <v>499000000</v>
      </c>
      <c r="E77" s="19" t="n">
        <f aca="false">D77/INDEX('1.1 Contratos 5550'!F:F,MATCH(B77,'1.1 Contratos 5550'!A:A,0))</f>
        <v>0.998</v>
      </c>
      <c r="F77" s="16" t="s">
        <v>59</v>
      </c>
      <c r="G77" s="16"/>
    </row>
    <row r="78" customFormat="false" ht="15" hidden="false" customHeight="false" outlineLevel="0" collapsed="false">
      <c r="A78" s="16" t="s">
        <v>136</v>
      </c>
      <c r="B78" s="16" t="s">
        <v>139</v>
      </c>
      <c r="C78" s="16" t="s">
        <v>530</v>
      </c>
      <c r="D78" s="18" t="n">
        <v>999988</v>
      </c>
      <c r="E78" s="19" t="n">
        <f aca="false">D78/INDEX('1.1 Contratos 5550'!F:F,MATCH(B78,'1.1 Contratos 5550'!A:A,0))</f>
        <v>0.001999976</v>
      </c>
      <c r="F78" s="16" t="s">
        <v>59</v>
      </c>
      <c r="G78" s="16"/>
    </row>
    <row r="79" customFormat="false" ht="15" hidden="false" customHeight="false" outlineLevel="0" collapsed="false">
      <c r="A79" s="16" t="s">
        <v>136</v>
      </c>
      <c r="B79" s="16" t="s">
        <v>139</v>
      </c>
      <c r="C79" s="16" t="s">
        <v>531</v>
      </c>
      <c r="D79" s="18" t="n">
        <v>10</v>
      </c>
      <c r="E79" s="19" t="n">
        <f aca="false">D79/INDEX('1.1 Contratos 5550'!F:F,MATCH(B79,'1.1 Contratos 5550'!A:A,0))</f>
        <v>2E-008</v>
      </c>
      <c r="F79" s="16" t="s">
        <v>59</v>
      </c>
      <c r="G79" s="16"/>
    </row>
    <row r="80" customFormat="false" ht="15" hidden="false" customHeight="false" outlineLevel="0" collapsed="false">
      <c r="A80" s="16" t="s">
        <v>136</v>
      </c>
      <c r="B80" s="16" t="s">
        <v>139</v>
      </c>
      <c r="C80" s="16" t="s">
        <v>497</v>
      </c>
      <c r="D80" s="18" t="n">
        <v>2</v>
      </c>
      <c r="E80" s="19" t="n">
        <f aca="false">D80/INDEX('1.1 Contratos 5550'!F:F,MATCH(B80,'1.1 Contratos 5550'!A:A,0))</f>
        <v>4E-009</v>
      </c>
      <c r="F80" s="16" t="s">
        <v>59</v>
      </c>
      <c r="G80" s="16"/>
    </row>
    <row r="81" customFormat="false" ht="15" hidden="false" customHeight="false" outlineLevel="0" collapsed="false">
      <c r="A81" s="16" t="s">
        <v>143</v>
      </c>
      <c r="B81" s="16" t="s">
        <v>141</v>
      </c>
      <c r="C81" s="16" t="s">
        <v>490</v>
      </c>
      <c r="D81" s="18" t="n">
        <v>76999803</v>
      </c>
      <c r="E81" s="19" t="n">
        <f aca="false">D81/INDEX('1.1 Contratos 5550'!F:F,MATCH(B81,'1.1 Contratos 5550'!A:A,0))</f>
        <v>0.999997441558442</v>
      </c>
      <c r="F81" s="16" t="s">
        <v>59</v>
      </c>
      <c r="G81" s="16"/>
    </row>
    <row r="82" customFormat="false" ht="15" hidden="false" customHeight="false" outlineLevel="0" collapsed="false">
      <c r="A82" s="16" t="s">
        <v>143</v>
      </c>
      <c r="B82" s="16" t="s">
        <v>141</v>
      </c>
      <c r="C82" s="16" t="s">
        <v>434</v>
      </c>
      <c r="D82" s="18" t="n">
        <v>187</v>
      </c>
      <c r="E82" s="19" t="n">
        <f aca="false">D82/INDEX('1.1 Contratos 5550'!F:F,MATCH(B82,'1.1 Contratos 5550'!A:A,0))</f>
        <v>2.42857142857143E-006</v>
      </c>
      <c r="F82" s="16" t="s">
        <v>67</v>
      </c>
      <c r="G82" s="16"/>
    </row>
    <row r="83" customFormat="false" ht="15" hidden="false" customHeight="false" outlineLevel="0" collapsed="false">
      <c r="A83" s="16" t="s">
        <v>143</v>
      </c>
      <c r="B83" s="16" t="s">
        <v>141</v>
      </c>
      <c r="C83" s="16" t="s">
        <v>494</v>
      </c>
      <c r="D83" s="18" t="n">
        <v>10</v>
      </c>
      <c r="E83" s="19" t="n">
        <f aca="false">D83/INDEX('1.1 Contratos 5550'!F:F,MATCH(B83,'1.1 Contratos 5550'!A:A,0))</f>
        <v>1.2987012987013E-007</v>
      </c>
      <c r="F83" s="16" t="s">
        <v>59</v>
      </c>
      <c r="G83" s="16"/>
    </row>
    <row r="84" customFormat="false" ht="15" hidden="false" customHeight="false" outlineLevel="0" collapsed="false">
      <c r="A84" s="16" t="s">
        <v>146</v>
      </c>
      <c r="B84" s="16" t="s">
        <v>144</v>
      </c>
      <c r="C84" s="16" t="s">
        <v>490</v>
      </c>
      <c r="D84" s="18" t="n">
        <v>99989983.5</v>
      </c>
      <c r="E84" s="19" t="n">
        <f aca="false">D84/INDEX('1.1 Contratos 5550'!F:F,MATCH(B84,'1.1 Contratos 5550'!A:A,0))</f>
        <v>0.999899835</v>
      </c>
      <c r="F84" s="16" t="s">
        <v>59</v>
      </c>
      <c r="G84" s="16"/>
    </row>
    <row r="85" customFormat="false" ht="15" hidden="false" customHeight="false" outlineLevel="0" collapsed="false">
      <c r="A85" s="16" t="s">
        <v>146</v>
      </c>
      <c r="B85" s="16" t="s">
        <v>144</v>
      </c>
      <c r="C85" s="16" t="s">
        <v>497</v>
      </c>
      <c r="D85" s="18" t="n">
        <v>10000</v>
      </c>
      <c r="E85" s="19" t="n">
        <f aca="false">D85/INDEX('1.1 Contratos 5550'!F:F,MATCH(B85,'1.1 Contratos 5550'!A:A,0))</f>
        <v>0.0001</v>
      </c>
      <c r="F85" s="16" t="s">
        <v>59</v>
      </c>
      <c r="G85" s="16"/>
    </row>
    <row r="86" customFormat="false" ht="15" hidden="false" customHeight="false" outlineLevel="0" collapsed="false">
      <c r="A86" s="16" t="s">
        <v>146</v>
      </c>
      <c r="B86" s="16" t="s">
        <v>144</v>
      </c>
      <c r="C86" s="16" t="s">
        <v>423</v>
      </c>
      <c r="D86" s="18" t="n">
        <v>14.6561156940111</v>
      </c>
      <c r="E86" s="19" t="n">
        <f aca="false">D86/INDEX('1.1 Contratos 5550'!F:F,MATCH(B86,'1.1 Contratos 5550'!A:A,0))</f>
        <v>1.46561156940111E-007</v>
      </c>
      <c r="F86" s="16" t="s">
        <v>67</v>
      </c>
      <c r="G86" s="16"/>
    </row>
    <row r="87" customFormat="false" ht="15" hidden="false" customHeight="false" outlineLevel="0" collapsed="false">
      <c r="A87" s="16" t="s">
        <v>146</v>
      </c>
      <c r="B87" s="16" t="s">
        <v>144</v>
      </c>
      <c r="C87" s="16" t="s">
        <v>511</v>
      </c>
      <c r="D87" s="18" t="n">
        <v>1.24109138950631</v>
      </c>
      <c r="E87" s="19" t="n">
        <f aca="false">D87/INDEX('1.1 Contratos 5550'!F:F,MATCH(B87,'1.1 Contratos 5550'!A:A,0))</f>
        <v>1.24109138950631E-008</v>
      </c>
      <c r="F87" s="16" t="s">
        <v>59</v>
      </c>
      <c r="G87" s="16"/>
    </row>
    <row r="88" customFormat="false" ht="15" hidden="false" customHeight="false" outlineLevel="0" collapsed="false">
      <c r="A88" s="16" t="s">
        <v>146</v>
      </c>
      <c r="B88" s="16" t="s">
        <v>144</v>
      </c>
      <c r="C88" s="16" t="s">
        <v>494</v>
      </c>
      <c r="D88" s="18" t="n">
        <v>0.602792916482606</v>
      </c>
      <c r="E88" s="19" t="n">
        <f aca="false">D88/INDEX('1.1 Contratos 5550'!F:F,MATCH(B88,'1.1 Contratos 5550'!A:A,0))</f>
        <v>6.02792916482606E-009</v>
      </c>
      <c r="F88" s="16" t="s">
        <v>59</v>
      </c>
      <c r="G88" s="16"/>
    </row>
    <row r="89" customFormat="false" ht="15" hidden="false" customHeight="false" outlineLevel="0" collapsed="false">
      <c r="A89" s="16" t="s">
        <v>146</v>
      </c>
      <c r="B89" s="16" t="s">
        <v>149</v>
      </c>
      <c r="C89" s="16" t="s">
        <v>495</v>
      </c>
      <c r="D89" s="18" t="n">
        <v>1E+026</v>
      </c>
      <c r="E89" s="19" t="n">
        <f aca="false">D89/INDEX('1.1 Contratos 5550'!F:F,MATCH(B89,'1.1 Contratos 5550'!A:A,0))</f>
        <v>1</v>
      </c>
      <c r="F89" s="16" t="s">
        <v>496</v>
      </c>
      <c r="G89" s="16"/>
    </row>
    <row r="90" customFormat="false" ht="15" hidden="false" customHeight="false" outlineLevel="0" collapsed="false">
      <c r="A90" s="16" t="s">
        <v>153</v>
      </c>
      <c r="B90" s="16" t="s">
        <v>151</v>
      </c>
      <c r="C90" s="16" t="s">
        <v>533</v>
      </c>
      <c r="D90" s="18" t="n">
        <v>166500001</v>
      </c>
      <c r="E90" s="19" t="n">
        <f aca="false">D90/INDEX('1.1 Contratos 5550'!F:F,MATCH(B90,'1.1 Contratos 5550'!A:A,0))</f>
        <v>0.300000001801802</v>
      </c>
      <c r="F90" s="16" t="s">
        <v>59</v>
      </c>
      <c r="G90" s="16"/>
    </row>
    <row r="91" customFormat="false" ht="15" hidden="false" customHeight="false" outlineLevel="0" collapsed="false">
      <c r="A91" s="16" t="s">
        <v>153</v>
      </c>
      <c r="B91" s="16" t="s">
        <v>151</v>
      </c>
      <c r="C91" s="16" t="s">
        <v>534</v>
      </c>
      <c r="D91" s="18" t="n">
        <v>83250000</v>
      </c>
      <c r="E91" s="19" t="n">
        <f aca="false">D91/INDEX('1.1 Contratos 5550'!F:F,MATCH(B91,'1.1 Contratos 5550'!A:A,0))</f>
        <v>0.15</v>
      </c>
      <c r="F91" s="16" t="s">
        <v>59</v>
      </c>
      <c r="G91" s="16"/>
    </row>
    <row r="92" customFormat="false" ht="15" hidden="false" customHeight="false" outlineLevel="0" collapsed="false">
      <c r="A92" s="16" t="s">
        <v>153</v>
      </c>
      <c r="B92" s="16" t="s">
        <v>151</v>
      </c>
      <c r="C92" s="16" t="s">
        <v>535</v>
      </c>
      <c r="D92" s="18" t="n">
        <v>83250000</v>
      </c>
      <c r="E92" s="19" t="n">
        <f aca="false">D92/INDEX('1.1 Contratos 5550'!F:F,MATCH(B92,'1.1 Contratos 5550'!A:A,0))</f>
        <v>0.15</v>
      </c>
      <c r="F92" s="16" t="s">
        <v>59</v>
      </c>
      <c r="G92" s="16"/>
    </row>
    <row r="93" customFormat="false" ht="15" hidden="false" customHeight="false" outlineLevel="0" collapsed="false">
      <c r="A93" s="16" t="s">
        <v>153</v>
      </c>
      <c r="B93" s="16" t="s">
        <v>151</v>
      </c>
      <c r="C93" s="16" t="s">
        <v>536</v>
      </c>
      <c r="D93" s="18" t="n">
        <v>83250000</v>
      </c>
      <c r="E93" s="19" t="n">
        <f aca="false">D93/INDEX('1.1 Contratos 5550'!F:F,MATCH(B93,'1.1 Contratos 5550'!A:A,0))</f>
        <v>0.15</v>
      </c>
      <c r="F93" s="16" t="s">
        <v>59</v>
      </c>
      <c r="G93" s="16"/>
    </row>
    <row r="94" customFormat="false" ht="15" hidden="false" customHeight="false" outlineLevel="0" collapsed="false">
      <c r="A94" s="16" t="s">
        <v>153</v>
      </c>
      <c r="B94" s="16" t="s">
        <v>151</v>
      </c>
      <c r="C94" s="16" t="s">
        <v>537</v>
      </c>
      <c r="D94" s="18" t="n">
        <v>55500000</v>
      </c>
      <c r="E94" s="19" t="n">
        <f aca="false">D94/INDEX('1.1 Contratos 5550'!F:F,MATCH(B94,'1.1 Contratos 5550'!A:A,0))</f>
        <v>0.1</v>
      </c>
      <c r="F94" s="16" t="s">
        <v>59</v>
      </c>
      <c r="G94" s="16"/>
    </row>
    <row r="95" customFormat="false" ht="15" hidden="false" customHeight="false" outlineLevel="0" collapsed="false">
      <c r="A95" s="16" t="s">
        <v>153</v>
      </c>
      <c r="B95" s="16" t="s">
        <v>151</v>
      </c>
      <c r="C95" s="16" t="s">
        <v>538</v>
      </c>
      <c r="D95" s="18" t="n">
        <v>55500000</v>
      </c>
      <c r="E95" s="19" t="n">
        <f aca="false">D95/INDEX('1.1 Contratos 5550'!F:F,MATCH(B95,'1.1 Contratos 5550'!A:A,0))</f>
        <v>0.1</v>
      </c>
      <c r="F95" s="16" t="s">
        <v>59</v>
      </c>
      <c r="G95" s="16"/>
    </row>
    <row r="96" customFormat="false" ht="15" hidden="false" customHeight="false" outlineLevel="0" collapsed="false">
      <c r="A96" s="16" t="s">
        <v>153</v>
      </c>
      <c r="B96" s="16" t="s">
        <v>151</v>
      </c>
      <c r="C96" s="16" t="s">
        <v>539</v>
      </c>
      <c r="D96" s="18" t="n">
        <v>16650000</v>
      </c>
      <c r="E96" s="19" t="n">
        <f aca="false">D96/INDEX('1.1 Contratos 5550'!F:F,MATCH(B96,'1.1 Contratos 5550'!A:A,0))</f>
        <v>0.03</v>
      </c>
      <c r="F96" s="16" t="s">
        <v>59</v>
      </c>
      <c r="G96" s="16"/>
    </row>
    <row r="97" customFormat="false" ht="15" hidden="false" customHeight="false" outlineLevel="0" collapsed="false">
      <c r="A97" s="16" t="s">
        <v>153</v>
      </c>
      <c r="B97" s="16" t="s">
        <v>151</v>
      </c>
      <c r="C97" s="16" t="s">
        <v>540</v>
      </c>
      <c r="D97" s="18" t="n">
        <v>10514989.26</v>
      </c>
      <c r="E97" s="19" t="n">
        <f aca="false">D97/INDEX('1.1 Contratos 5550'!F:F,MATCH(B97,'1.1 Contratos 5550'!A:A,0))</f>
        <v>0.0189459265945946</v>
      </c>
      <c r="F97" s="16" t="s">
        <v>59</v>
      </c>
      <c r="G97" s="16"/>
    </row>
    <row r="98" customFormat="false" ht="15" hidden="false" customHeight="false" outlineLevel="0" collapsed="false">
      <c r="A98" s="16" t="s">
        <v>153</v>
      </c>
      <c r="B98" s="16" t="s">
        <v>151</v>
      </c>
      <c r="C98" s="16" t="s">
        <v>492</v>
      </c>
      <c r="D98" s="18" t="n">
        <v>77213.00667</v>
      </c>
      <c r="E98" s="19" t="n">
        <f aca="false">D98/INDEX('1.1 Contratos 5550'!F:F,MATCH(B98,'1.1 Contratos 5550'!A:A,0))</f>
        <v>0.000139122534540541</v>
      </c>
      <c r="F98" s="16" t="s">
        <v>59</v>
      </c>
      <c r="G98" s="16"/>
    </row>
    <row r="99" customFormat="false" ht="15" hidden="false" customHeight="false" outlineLevel="0" collapsed="false">
      <c r="A99" s="16" t="s">
        <v>153</v>
      </c>
      <c r="B99" s="16" t="s">
        <v>151</v>
      </c>
      <c r="C99" s="16" t="s">
        <v>541</v>
      </c>
      <c r="D99" s="18" t="n">
        <v>66150</v>
      </c>
      <c r="E99" s="19" t="n">
        <f aca="false">D99/INDEX('1.1 Contratos 5550'!F:F,MATCH(B99,'1.1 Contratos 5550'!A:A,0))</f>
        <v>0.000119189189189189</v>
      </c>
      <c r="F99" s="16" t="s">
        <v>59</v>
      </c>
      <c r="G99" s="16"/>
    </row>
    <row r="100" customFormat="false" ht="15" hidden="false" customHeight="false" outlineLevel="0" collapsed="false">
      <c r="A100" s="16" t="s">
        <v>153</v>
      </c>
      <c r="B100" s="16" t="s">
        <v>151</v>
      </c>
      <c r="C100" s="16" t="s">
        <v>499</v>
      </c>
      <c r="D100" s="18" t="n">
        <v>58795.7</v>
      </c>
      <c r="E100" s="19" t="n">
        <f aca="false">D100/INDEX('1.1 Contratos 5550'!F:F,MATCH(B100,'1.1 Contratos 5550'!A:A,0))</f>
        <v>0.000105938198198198</v>
      </c>
      <c r="F100" s="16" t="s">
        <v>59</v>
      </c>
      <c r="G100" s="16" t="s">
        <v>500</v>
      </c>
    </row>
    <row r="101" customFormat="false" ht="15" hidden="false" customHeight="false" outlineLevel="0" collapsed="false">
      <c r="A101" s="16" t="s">
        <v>153</v>
      </c>
      <c r="B101" s="16" t="s">
        <v>151</v>
      </c>
      <c r="C101" s="16" t="s">
        <v>501</v>
      </c>
      <c r="D101" s="18" t="n">
        <v>50000</v>
      </c>
      <c r="E101" s="19" t="n">
        <f aca="false">D101/INDEX('1.1 Contratos 5550'!F:F,MATCH(B101,'1.1 Contratos 5550'!A:A,0))</f>
        <v>9.00900900900901E-005</v>
      </c>
      <c r="F101" s="16" t="s">
        <v>59</v>
      </c>
      <c r="G101" s="16" t="s">
        <v>500</v>
      </c>
    </row>
    <row r="102" customFormat="false" ht="15" hidden="false" customHeight="false" outlineLevel="0" collapsed="false">
      <c r="A102" s="16" t="s">
        <v>153</v>
      </c>
      <c r="B102" s="16" t="s">
        <v>151</v>
      </c>
      <c r="C102" s="16" t="s">
        <v>542</v>
      </c>
      <c r="D102" s="18" t="n">
        <v>27500</v>
      </c>
      <c r="E102" s="19" t="n">
        <f aca="false">D102/INDEX('1.1 Contratos 5550'!F:F,MATCH(B102,'1.1 Contratos 5550'!A:A,0))</f>
        <v>4.95495495495495E-005</v>
      </c>
      <c r="F102" s="16" t="s">
        <v>59</v>
      </c>
      <c r="G102" s="16"/>
    </row>
    <row r="103" customFormat="false" ht="15" hidden="false" customHeight="false" outlineLevel="0" collapsed="false">
      <c r="A103" s="16" t="s">
        <v>153</v>
      </c>
      <c r="B103" s="16" t="s">
        <v>151</v>
      </c>
      <c r="C103" s="16" t="s">
        <v>498</v>
      </c>
      <c r="D103" s="18" t="n">
        <v>25800</v>
      </c>
      <c r="E103" s="19" t="n">
        <f aca="false">D103/INDEX('1.1 Contratos 5550'!F:F,MATCH(B103,'1.1 Contratos 5550'!A:A,0))</f>
        <v>4.64864864864865E-005</v>
      </c>
      <c r="F103" s="16" t="s">
        <v>59</v>
      </c>
      <c r="G103" s="16"/>
    </row>
    <row r="104" customFormat="false" ht="15" hidden="false" customHeight="false" outlineLevel="0" collapsed="false">
      <c r="A104" s="16" t="s">
        <v>153</v>
      </c>
      <c r="B104" s="16" t="s">
        <v>151</v>
      </c>
      <c r="C104" s="16" t="s">
        <v>503</v>
      </c>
      <c r="D104" s="18" t="n">
        <v>21773</v>
      </c>
      <c r="E104" s="19" t="n">
        <f aca="false">D104/INDEX('1.1 Contratos 5550'!F:F,MATCH(B104,'1.1 Contratos 5550'!A:A,0))</f>
        <v>3.92306306306306E-005</v>
      </c>
      <c r="F104" s="16" t="s">
        <v>59</v>
      </c>
      <c r="G104" s="16" t="s">
        <v>500</v>
      </c>
    </row>
    <row r="105" customFormat="false" ht="15" hidden="false" customHeight="false" outlineLevel="0" collapsed="false">
      <c r="A105" s="16" t="s">
        <v>153</v>
      </c>
      <c r="B105" s="16" t="s">
        <v>151</v>
      </c>
      <c r="C105" s="16" t="s">
        <v>543</v>
      </c>
      <c r="D105" s="18" t="n">
        <v>20000</v>
      </c>
      <c r="E105" s="19" t="n">
        <f aca="false">D105/INDEX('1.1 Contratos 5550'!F:F,MATCH(B105,'1.1 Contratos 5550'!A:A,0))</f>
        <v>3.6036036036036E-005</v>
      </c>
      <c r="F105" s="16" t="s">
        <v>59</v>
      </c>
      <c r="G105" s="16"/>
    </row>
    <row r="106" customFormat="false" ht="15" hidden="false" customHeight="false" outlineLevel="0" collapsed="false">
      <c r="A106" s="16" t="s">
        <v>153</v>
      </c>
      <c r="B106" s="16" t="s">
        <v>151</v>
      </c>
      <c r="C106" s="16" t="s">
        <v>507</v>
      </c>
      <c r="D106" s="18" t="n">
        <v>18500</v>
      </c>
      <c r="E106" s="19" t="n">
        <f aca="false">D106/INDEX('1.1 Contratos 5550'!F:F,MATCH(B106,'1.1 Contratos 5550'!A:A,0))</f>
        <v>3.33333333333333E-005</v>
      </c>
      <c r="F106" s="16" t="s">
        <v>59</v>
      </c>
      <c r="G106" s="16" t="s">
        <v>500</v>
      </c>
    </row>
    <row r="107" customFormat="false" ht="15" hidden="false" customHeight="false" outlineLevel="0" collapsed="false">
      <c r="A107" s="16" t="s">
        <v>153</v>
      </c>
      <c r="B107" s="16" t="s">
        <v>151</v>
      </c>
      <c r="C107" s="16" t="s">
        <v>544</v>
      </c>
      <c r="D107" s="18" t="n">
        <v>15700.09</v>
      </c>
      <c r="E107" s="19" t="n">
        <f aca="false">D107/INDEX('1.1 Contratos 5550'!F:F,MATCH(B107,'1.1 Contratos 5550'!A:A,0))</f>
        <v>2.82884504504505E-005</v>
      </c>
      <c r="F107" s="16" t="s">
        <v>59</v>
      </c>
      <c r="G107" s="16"/>
    </row>
    <row r="108" customFormat="false" ht="15" hidden="false" customHeight="false" outlineLevel="0" collapsed="false">
      <c r="A108" s="16" t="s">
        <v>153</v>
      </c>
      <c r="B108" s="16" t="s">
        <v>151</v>
      </c>
      <c r="C108" s="16" t="s">
        <v>509</v>
      </c>
      <c r="D108" s="18" t="n">
        <v>15000</v>
      </c>
      <c r="E108" s="19" t="n">
        <f aca="false">D108/INDEX('1.1 Contratos 5550'!F:F,MATCH(B108,'1.1 Contratos 5550'!A:A,0))</f>
        <v>2.7027027027027E-005</v>
      </c>
      <c r="F108" s="16" t="s">
        <v>59</v>
      </c>
      <c r="G108" s="16" t="s">
        <v>500</v>
      </c>
    </row>
    <row r="109" customFormat="false" ht="15" hidden="false" customHeight="false" outlineLevel="0" collapsed="false">
      <c r="A109" s="16" t="s">
        <v>153</v>
      </c>
      <c r="B109" s="16" t="s">
        <v>151</v>
      </c>
      <c r="C109" s="16" t="s">
        <v>513</v>
      </c>
      <c r="D109" s="18" t="n">
        <v>12353</v>
      </c>
      <c r="E109" s="19" t="n">
        <f aca="false">D109/INDEX('1.1 Contratos 5550'!F:F,MATCH(B109,'1.1 Contratos 5550'!A:A,0))</f>
        <v>2.22576576576577E-005</v>
      </c>
      <c r="F109" s="16" t="s">
        <v>59</v>
      </c>
      <c r="G109" s="16" t="s">
        <v>500</v>
      </c>
    </row>
    <row r="110" customFormat="false" ht="15" hidden="false" customHeight="false" outlineLevel="0" collapsed="false">
      <c r="A110" s="16" t="s">
        <v>153</v>
      </c>
      <c r="B110" s="16" t="s">
        <v>151</v>
      </c>
      <c r="C110" s="16" t="s">
        <v>545</v>
      </c>
      <c r="D110" s="18" t="n">
        <v>11079</v>
      </c>
      <c r="E110" s="19" t="n">
        <f aca="false">D110/INDEX('1.1 Contratos 5550'!F:F,MATCH(B110,'1.1 Contratos 5550'!A:A,0))</f>
        <v>1.99621621621622E-005</v>
      </c>
      <c r="F110" s="16" t="s">
        <v>59</v>
      </c>
      <c r="G110" s="16"/>
    </row>
    <row r="111" customFormat="false" ht="15" hidden="false" customHeight="false" outlineLevel="0" collapsed="false">
      <c r="A111" s="16" t="s">
        <v>153</v>
      </c>
      <c r="B111" s="16" t="s">
        <v>151</v>
      </c>
      <c r="C111" s="16" t="s">
        <v>528</v>
      </c>
      <c r="D111" s="18" t="n">
        <v>10350.99</v>
      </c>
      <c r="E111" s="19" t="n">
        <f aca="false">D111/INDEX('1.1 Contratos 5550'!F:F,MATCH(B111,'1.1 Contratos 5550'!A:A,0))</f>
        <v>1.86504324324324E-005</v>
      </c>
      <c r="F111" s="16" t="s">
        <v>59</v>
      </c>
      <c r="G111" s="16" t="s">
        <v>500</v>
      </c>
    </row>
    <row r="112" customFormat="false" ht="15" hidden="false" customHeight="false" outlineLevel="0" collapsed="false">
      <c r="A112" s="16" t="s">
        <v>153</v>
      </c>
      <c r="B112" s="16" t="s">
        <v>151</v>
      </c>
      <c r="C112" s="16" t="s">
        <v>497</v>
      </c>
      <c r="D112" s="18" t="n">
        <v>10344.44</v>
      </c>
      <c r="E112" s="19" t="n">
        <f aca="false">D112/INDEX('1.1 Contratos 5550'!F:F,MATCH(B112,'1.1 Contratos 5550'!A:A,0))</f>
        <v>1.86386306306306E-005</v>
      </c>
      <c r="F112" s="16" t="s">
        <v>59</v>
      </c>
      <c r="G112" s="16"/>
    </row>
    <row r="113" customFormat="false" ht="15" hidden="false" customHeight="false" outlineLevel="0" collapsed="false">
      <c r="A113" s="16" t="s">
        <v>153</v>
      </c>
      <c r="B113" s="16" t="s">
        <v>151</v>
      </c>
      <c r="C113" s="16" t="s">
        <v>546</v>
      </c>
      <c r="D113" s="18" t="n">
        <v>10000</v>
      </c>
      <c r="E113" s="19" t="n">
        <f aca="false">D113/INDEX('1.1 Contratos 5550'!F:F,MATCH(B113,'1.1 Contratos 5550'!A:A,0))</f>
        <v>1.8018018018018E-005</v>
      </c>
      <c r="F113" s="16" t="s">
        <v>59</v>
      </c>
      <c r="G113" s="16" t="s">
        <v>500</v>
      </c>
    </row>
    <row r="114" customFormat="false" ht="15" hidden="false" customHeight="false" outlineLevel="0" collapsed="false">
      <c r="A114" s="16" t="s">
        <v>153</v>
      </c>
      <c r="B114" s="16" t="s">
        <v>151</v>
      </c>
      <c r="C114" s="16" t="s">
        <v>547</v>
      </c>
      <c r="D114" s="18" t="n">
        <v>7669.01</v>
      </c>
      <c r="E114" s="19" t="n">
        <f aca="false">D114/INDEX('1.1 Contratos 5550'!F:F,MATCH(B114,'1.1 Contratos 5550'!A:A,0))</f>
        <v>1.3818036036036E-005</v>
      </c>
      <c r="F114" s="16" t="s">
        <v>59</v>
      </c>
      <c r="G114" s="16" t="s">
        <v>500</v>
      </c>
    </row>
    <row r="115" customFormat="false" ht="15" hidden="false" customHeight="false" outlineLevel="0" collapsed="false">
      <c r="A115" s="16" t="s">
        <v>153</v>
      </c>
      <c r="B115" s="16" t="s">
        <v>151</v>
      </c>
      <c r="C115" s="16" t="s">
        <v>548</v>
      </c>
      <c r="D115" s="18" t="n">
        <v>5936</v>
      </c>
      <c r="E115" s="19" t="n">
        <f aca="false">D115/INDEX('1.1 Contratos 5550'!F:F,MATCH(B115,'1.1 Contratos 5550'!A:A,0))</f>
        <v>1.06954954954955E-005</v>
      </c>
      <c r="F115" s="16" t="s">
        <v>59</v>
      </c>
      <c r="G115" s="16" t="s">
        <v>500</v>
      </c>
    </row>
    <row r="116" customFormat="false" ht="15" hidden="false" customHeight="false" outlineLevel="0" collapsed="false">
      <c r="A116" s="16" t="s">
        <v>153</v>
      </c>
      <c r="B116" s="16" t="s">
        <v>151</v>
      </c>
      <c r="C116" s="16" t="s">
        <v>549</v>
      </c>
      <c r="D116" s="18" t="n">
        <v>5466</v>
      </c>
      <c r="E116" s="19" t="n">
        <f aca="false">D116/INDEX('1.1 Contratos 5550'!F:F,MATCH(B116,'1.1 Contratos 5550'!A:A,0))</f>
        <v>9.84864864864865E-006</v>
      </c>
      <c r="F116" s="16" t="s">
        <v>59</v>
      </c>
      <c r="G116" s="16" t="s">
        <v>500</v>
      </c>
    </row>
    <row r="117" customFormat="false" ht="15" hidden="false" customHeight="false" outlineLevel="0" collapsed="false">
      <c r="A117" s="16" t="s">
        <v>153</v>
      </c>
      <c r="B117" s="16" t="s">
        <v>151</v>
      </c>
      <c r="C117" s="16" t="s">
        <v>550</v>
      </c>
      <c r="D117" s="18" t="n">
        <v>5101</v>
      </c>
      <c r="E117" s="19" t="n">
        <f aca="false">D117/INDEX('1.1 Contratos 5550'!F:F,MATCH(B117,'1.1 Contratos 5550'!A:A,0))</f>
        <v>9.19099099099099E-006</v>
      </c>
      <c r="F117" s="16" t="s">
        <v>59</v>
      </c>
      <c r="G117" s="16" t="s">
        <v>500</v>
      </c>
    </row>
    <row r="118" customFormat="false" ht="15" hidden="false" customHeight="false" outlineLevel="0" collapsed="false">
      <c r="A118" s="16" t="s">
        <v>153</v>
      </c>
      <c r="B118" s="16" t="s">
        <v>151</v>
      </c>
      <c r="C118" s="16" t="s">
        <v>551</v>
      </c>
      <c r="D118" s="18" t="n">
        <v>5100</v>
      </c>
      <c r="E118" s="19" t="n">
        <f aca="false">D118/INDEX('1.1 Contratos 5550'!F:F,MATCH(B118,'1.1 Contratos 5550'!A:A,0))</f>
        <v>9.18918918918919E-006</v>
      </c>
      <c r="F118" s="16" t="s">
        <v>59</v>
      </c>
      <c r="G118" s="16" t="s">
        <v>500</v>
      </c>
    </row>
    <row r="119" customFormat="false" ht="15" hidden="false" customHeight="false" outlineLevel="0" collapsed="false">
      <c r="A119" s="16" t="s">
        <v>153</v>
      </c>
      <c r="B119" s="16" t="s">
        <v>151</v>
      </c>
      <c r="C119" s="16" t="s">
        <v>552</v>
      </c>
      <c r="D119" s="18" t="n">
        <v>5100</v>
      </c>
      <c r="E119" s="19" t="n">
        <f aca="false">D119/INDEX('1.1 Contratos 5550'!F:F,MATCH(B119,'1.1 Contratos 5550'!A:A,0))</f>
        <v>9.18918918918919E-006</v>
      </c>
      <c r="F119" s="16" t="s">
        <v>59</v>
      </c>
      <c r="G119" s="16" t="s">
        <v>500</v>
      </c>
    </row>
    <row r="120" customFormat="false" ht="15" hidden="false" customHeight="false" outlineLevel="0" collapsed="false">
      <c r="A120" s="16" t="s">
        <v>153</v>
      </c>
      <c r="B120" s="16" t="s">
        <v>151</v>
      </c>
      <c r="C120" s="16" t="s">
        <v>553</v>
      </c>
      <c r="D120" s="18" t="n">
        <v>5001</v>
      </c>
      <c r="E120" s="19" t="n">
        <f aca="false">D120/INDEX('1.1 Contratos 5550'!F:F,MATCH(B120,'1.1 Contratos 5550'!A:A,0))</f>
        <v>9.01081081081081E-006</v>
      </c>
      <c r="F120" s="16" t="s">
        <v>59</v>
      </c>
      <c r="G120" s="16"/>
    </row>
    <row r="121" customFormat="false" ht="15" hidden="false" customHeight="false" outlineLevel="0" collapsed="false">
      <c r="A121" s="16" t="s">
        <v>153</v>
      </c>
      <c r="B121" s="16" t="s">
        <v>151</v>
      </c>
      <c r="C121" s="16" t="s">
        <v>554</v>
      </c>
      <c r="D121" s="18" t="n">
        <v>5000</v>
      </c>
      <c r="E121" s="19" t="n">
        <f aca="false">D121/INDEX('1.1 Contratos 5550'!F:F,MATCH(B121,'1.1 Contratos 5550'!A:A,0))</f>
        <v>9.00900900900901E-006</v>
      </c>
      <c r="F121" s="16" t="s">
        <v>59</v>
      </c>
      <c r="G121" s="16" t="s">
        <v>500</v>
      </c>
    </row>
    <row r="122" customFormat="false" ht="15" hidden="false" customHeight="false" outlineLevel="0" collapsed="false">
      <c r="A122" s="16" t="s">
        <v>153</v>
      </c>
      <c r="B122" s="16" t="s">
        <v>151</v>
      </c>
      <c r="C122" s="16" t="s">
        <v>555</v>
      </c>
      <c r="D122" s="18" t="n">
        <v>4967</v>
      </c>
      <c r="E122" s="19" t="n">
        <f aca="false">D122/INDEX('1.1 Contratos 5550'!F:F,MATCH(B122,'1.1 Contratos 5550'!A:A,0))</f>
        <v>8.94954954954955E-006</v>
      </c>
      <c r="F122" s="16" t="s">
        <v>59</v>
      </c>
      <c r="G122" s="16" t="s">
        <v>500</v>
      </c>
    </row>
    <row r="123" customFormat="false" ht="15" hidden="false" customHeight="false" outlineLevel="0" collapsed="false">
      <c r="A123" s="16" t="s">
        <v>153</v>
      </c>
      <c r="B123" s="16" t="s">
        <v>151</v>
      </c>
      <c r="C123" s="16" t="s">
        <v>556</v>
      </c>
      <c r="D123" s="18" t="n">
        <v>4000</v>
      </c>
      <c r="E123" s="19" t="n">
        <f aca="false">D123/INDEX('1.1 Contratos 5550'!F:F,MATCH(B123,'1.1 Contratos 5550'!A:A,0))</f>
        <v>7.20720720720721E-006</v>
      </c>
      <c r="F123" s="16" t="s">
        <v>59</v>
      </c>
      <c r="G123" s="16" t="s">
        <v>500</v>
      </c>
    </row>
    <row r="124" customFormat="false" ht="15" hidden="false" customHeight="false" outlineLevel="0" collapsed="false">
      <c r="A124" s="16" t="s">
        <v>153</v>
      </c>
      <c r="B124" s="16" t="s">
        <v>151</v>
      </c>
      <c r="C124" s="16" t="s">
        <v>557</v>
      </c>
      <c r="D124" s="18" t="n">
        <v>3534.09</v>
      </c>
      <c r="E124" s="19" t="n">
        <f aca="false">D124/INDEX('1.1 Contratos 5550'!F:F,MATCH(B124,'1.1 Contratos 5550'!A:A,0))</f>
        <v>6.36772972972973E-006</v>
      </c>
      <c r="F124" s="16" t="s">
        <v>59</v>
      </c>
      <c r="G124" s="16" t="s">
        <v>500</v>
      </c>
    </row>
    <row r="125" customFormat="false" ht="15" hidden="false" customHeight="false" outlineLevel="0" collapsed="false">
      <c r="A125" s="16" t="s">
        <v>153</v>
      </c>
      <c r="B125" s="16" t="s">
        <v>151</v>
      </c>
      <c r="C125" s="16" t="s">
        <v>558</v>
      </c>
      <c r="D125" s="18" t="n">
        <v>3500</v>
      </c>
      <c r="E125" s="19" t="n">
        <f aca="false">D125/INDEX('1.1 Contratos 5550'!F:F,MATCH(B125,'1.1 Contratos 5550'!A:A,0))</f>
        <v>6.30630630630631E-006</v>
      </c>
      <c r="F125" s="16" t="s">
        <v>59</v>
      </c>
      <c r="G125" s="16" t="s">
        <v>500</v>
      </c>
    </row>
    <row r="126" customFormat="false" ht="15" hidden="false" customHeight="false" outlineLevel="0" collapsed="false">
      <c r="A126" s="16" t="s">
        <v>153</v>
      </c>
      <c r="B126" s="16" t="s">
        <v>151</v>
      </c>
      <c r="C126" s="16" t="s">
        <v>559</v>
      </c>
      <c r="D126" s="18" t="n">
        <v>3500</v>
      </c>
      <c r="E126" s="19" t="n">
        <f aca="false">D126/INDEX('1.1 Contratos 5550'!F:F,MATCH(B126,'1.1 Contratos 5550'!A:A,0))</f>
        <v>6.30630630630631E-006</v>
      </c>
      <c r="F126" s="16" t="s">
        <v>59</v>
      </c>
      <c r="G126" s="16" t="s">
        <v>500</v>
      </c>
    </row>
    <row r="127" customFormat="false" ht="15" hidden="false" customHeight="false" outlineLevel="0" collapsed="false">
      <c r="A127" s="16" t="s">
        <v>153</v>
      </c>
      <c r="B127" s="16" t="s">
        <v>151</v>
      </c>
      <c r="C127" s="16" t="s">
        <v>560</v>
      </c>
      <c r="D127" s="18" t="n">
        <v>3500</v>
      </c>
      <c r="E127" s="19" t="n">
        <f aca="false">D127/INDEX('1.1 Contratos 5550'!F:F,MATCH(B127,'1.1 Contratos 5550'!A:A,0))</f>
        <v>6.30630630630631E-006</v>
      </c>
      <c r="F127" s="16" t="s">
        <v>59</v>
      </c>
      <c r="G127" s="16" t="s">
        <v>500</v>
      </c>
    </row>
    <row r="128" customFormat="false" ht="15" hidden="false" customHeight="false" outlineLevel="0" collapsed="false">
      <c r="A128" s="16" t="s">
        <v>153</v>
      </c>
      <c r="B128" s="16" t="s">
        <v>151</v>
      </c>
      <c r="C128" s="16" t="s">
        <v>561</v>
      </c>
      <c r="D128" s="18" t="n">
        <v>3500</v>
      </c>
      <c r="E128" s="19" t="n">
        <f aca="false">D128/INDEX('1.1 Contratos 5550'!F:F,MATCH(B128,'1.1 Contratos 5550'!A:A,0))</f>
        <v>6.30630630630631E-006</v>
      </c>
      <c r="F128" s="16" t="s">
        <v>59</v>
      </c>
      <c r="G128" s="16" t="s">
        <v>500</v>
      </c>
    </row>
    <row r="129" customFormat="false" ht="15" hidden="false" customHeight="false" outlineLevel="0" collapsed="false">
      <c r="A129" s="16" t="s">
        <v>153</v>
      </c>
      <c r="B129" s="16" t="s">
        <v>151</v>
      </c>
      <c r="C129" s="16" t="s">
        <v>562</v>
      </c>
      <c r="D129" s="18" t="n">
        <v>3387</v>
      </c>
      <c r="E129" s="19" t="n">
        <f aca="false">D129/INDEX('1.1 Contratos 5550'!F:F,MATCH(B129,'1.1 Contratos 5550'!A:A,0))</f>
        <v>6.1027027027027E-006</v>
      </c>
      <c r="F129" s="16" t="s">
        <v>59</v>
      </c>
      <c r="G129" s="16" t="s">
        <v>500</v>
      </c>
    </row>
    <row r="130" customFormat="false" ht="15" hidden="false" customHeight="false" outlineLevel="0" collapsed="false">
      <c r="A130" s="16" t="s">
        <v>153</v>
      </c>
      <c r="B130" s="16" t="s">
        <v>151</v>
      </c>
      <c r="C130" s="16" t="s">
        <v>563</v>
      </c>
      <c r="D130" s="18" t="n">
        <v>3333.33333</v>
      </c>
      <c r="E130" s="19" t="n">
        <f aca="false">D130/INDEX('1.1 Contratos 5550'!F:F,MATCH(B130,'1.1 Contratos 5550'!A:A,0))</f>
        <v>6.006006E-006</v>
      </c>
      <c r="F130" s="16" t="s">
        <v>59</v>
      </c>
      <c r="G130" s="16"/>
    </row>
    <row r="131" customFormat="false" ht="15" hidden="false" customHeight="false" outlineLevel="0" collapsed="false">
      <c r="A131" s="16" t="s">
        <v>153</v>
      </c>
      <c r="B131" s="16" t="s">
        <v>151</v>
      </c>
      <c r="C131" s="16" t="s">
        <v>564</v>
      </c>
      <c r="D131" s="18" t="n">
        <v>3000</v>
      </c>
      <c r="E131" s="19" t="n">
        <f aca="false">D131/INDEX('1.1 Contratos 5550'!F:F,MATCH(B131,'1.1 Contratos 5550'!A:A,0))</f>
        <v>5.40540540540541E-006</v>
      </c>
      <c r="F131" s="16" t="s">
        <v>59</v>
      </c>
      <c r="G131" s="16" t="s">
        <v>500</v>
      </c>
    </row>
    <row r="132" customFormat="false" ht="15" hidden="false" customHeight="false" outlineLevel="0" collapsed="false">
      <c r="A132" s="16" t="s">
        <v>153</v>
      </c>
      <c r="B132" s="16" t="s">
        <v>151</v>
      </c>
      <c r="C132" s="16" t="s">
        <v>565</v>
      </c>
      <c r="D132" s="18" t="n">
        <v>2883</v>
      </c>
      <c r="E132" s="19" t="n">
        <f aca="false">D132/INDEX('1.1 Contratos 5550'!F:F,MATCH(B132,'1.1 Contratos 5550'!A:A,0))</f>
        <v>5.1945945945946E-006</v>
      </c>
      <c r="F132" s="16" t="s">
        <v>59</v>
      </c>
      <c r="G132" s="16" t="s">
        <v>500</v>
      </c>
    </row>
    <row r="133" customFormat="false" ht="15" hidden="false" customHeight="false" outlineLevel="0" collapsed="false">
      <c r="A133" s="16" t="s">
        <v>153</v>
      </c>
      <c r="B133" s="16" t="s">
        <v>151</v>
      </c>
      <c r="C133" s="16" t="s">
        <v>566</v>
      </c>
      <c r="D133" s="18" t="n">
        <v>2700</v>
      </c>
      <c r="E133" s="19" t="n">
        <f aca="false">D133/INDEX('1.1 Contratos 5550'!F:F,MATCH(B133,'1.1 Contratos 5550'!A:A,0))</f>
        <v>4.86486486486487E-006</v>
      </c>
      <c r="F133" s="16" t="s">
        <v>59</v>
      </c>
      <c r="G133" s="16" t="s">
        <v>500</v>
      </c>
    </row>
    <row r="134" customFormat="false" ht="15" hidden="false" customHeight="false" outlineLevel="0" collapsed="false">
      <c r="A134" s="16" t="s">
        <v>153</v>
      </c>
      <c r="B134" s="16" t="s">
        <v>151</v>
      </c>
      <c r="C134" s="16" t="s">
        <v>567</v>
      </c>
      <c r="D134" s="18" t="n">
        <v>2500</v>
      </c>
      <c r="E134" s="19" t="n">
        <f aca="false">D134/INDEX('1.1 Contratos 5550'!F:F,MATCH(B134,'1.1 Contratos 5550'!A:A,0))</f>
        <v>4.50450450450451E-006</v>
      </c>
      <c r="F134" s="16" t="s">
        <v>59</v>
      </c>
      <c r="G134" s="16" t="s">
        <v>500</v>
      </c>
    </row>
    <row r="135" customFormat="false" ht="15" hidden="false" customHeight="false" outlineLevel="0" collapsed="false">
      <c r="A135" s="16" t="s">
        <v>153</v>
      </c>
      <c r="B135" s="16" t="s">
        <v>151</v>
      </c>
      <c r="C135" s="16" t="s">
        <v>568</v>
      </c>
      <c r="D135" s="18" t="n">
        <v>2238.99</v>
      </c>
      <c r="E135" s="19" t="n">
        <f aca="false">D135/INDEX('1.1 Contratos 5550'!F:F,MATCH(B135,'1.1 Contratos 5550'!A:A,0))</f>
        <v>4.03421621621622E-006</v>
      </c>
      <c r="F135" s="16" t="s">
        <v>59</v>
      </c>
      <c r="G135" s="16"/>
    </row>
    <row r="136" customFormat="false" ht="15" hidden="false" customHeight="false" outlineLevel="0" collapsed="false">
      <c r="A136" s="16" t="s">
        <v>153</v>
      </c>
      <c r="B136" s="16" t="s">
        <v>151</v>
      </c>
      <c r="C136" s="16" t="s">
        <v>569</v>
      </c>
      <c r="D136" s="18" t="n">
        <v>2000</v>
      </c>
      <c r="E136" s="19" t="n">
        <f aca="false">D136/INDEX('1.1 Contratos 5550'!F:F,MATCH(B136,'1.1 Contratos 5550'!A:A,0))</f>
        <v>3.6036036036036E-006</v>
      </c>
      <c r="F136" s="16" t="s">
        <v>59</v>
      </c>
      <c r="G136" s="16" t="s">
        <v>500</v>
      </c>
    </row>
    <row r="137" customFormat="false" ht="15" hidden="false" customHeight="false" outlineLevel="0" collapsed="false">
      <c r="A137" s="16" t="s">
        <v>153</v>
      </c>
      <c r="B137" s="16" t="s">
        <v>151</v>
      </c>
      <c r="C137" s="16" t="s">
        <v>570</v>
      </c>
      <c r="D137" s="18" t="n">
        <v>2000</v>
      </c>
      <c r="E137" s="19" t="n">
        <f aca="false">D137/INDEX('1.1 Contratos 5550'!F:F,MATCH(B137,'1.1 Contratos 5550'!A:A,0))</f>
        <v>3.6036036036036E-006</v>
      </c>
      <c r="F137" s="16" t="s">
        <v>59</v>
      </c>
      <c r="G137" s="16" t="s">
        <v>500</v>
      </c>
    </row>
    <row r="138" customFormat="false" ht="15" hidden="false" customHeight="false" outlineLevel="0" collapsed="false">
      <c r="A138" s="16" t="s">
        <v>153</v>
      </c>
      <c r="B138" s="16" t="s">
        <v>151</v>
      </c>
      <c r="C138" s="16" t="s">
        <v>571</v>
      </c>
      <c r="D138" s="18" t="n">
        <v>2000</v>
      </c>
      <c r="E138" s="19" t="n">
        <f aca="false">D138/INDEX('1.1 Contratos 5550'!F:F,MATCH(B138,'1.1 Contratos 5550'!A:A,0))</f>
        <v>3.6036036036036E-006</v>
      </c>
      <c r="F138" s="16" t="s">
        <v>59</v>
      </c>
      <c r="G138" s="16" t="s">
        <v>500</v>
      </c>
    </row>
    <row r="139" customFormat="false" ht="15" hidden="false" customHeight="false" outlineLevel="0" collapsed="false">
      <c r="A139" s="16" t="s">
        <v>153</v>
      </c>
      <c r="B139" s="16" t="s">
        <v>151</v>
      </c>
      <c r="C139" s="16" t="s">
        <v>572</v>
      </c>
      <c r="D139" s="18" t="n">
        <v>1971.74</v>
      </c>
      <c r="E139" s="19" t="n">
        <f aca="false">D139/INDEX('1.1 Contratos 5550'!F:F,MATCH(B139,'1.1 Contratos 5550'!A:A,0))</f>
        <v>3.55268468468469E-006</v>
      </c>
      <c r="F139" s="16" t="s">
        <v>59</v>
      </c>
      <c r="G139" s="16"/>
    </row>
    <row r="140" customFormat="false" ht="15" hidden="false" customHeight="false" outlineLevel="0" collapsed="false">
      <c r="A140" s="16" t="s">
        <v>153</v>
      </c>
      <c r="B140" s="16" t="s">
        <v>151</v>
      </c>
      <c r="C140" s="16" t="s">
        <v>573</v>
      </c>
      <c r="D140" s="18" t="n">
        <v>1793</v>
      </c>
      <c r="E140" s="19" t="n">
        <f aca="false">D140/INDEX('1.1 Contratos 5550'!F:F,MATCH(B140,'1.1 Contratos 5550'!A:A,0))</f>
        <v>3.23063063063063E-006</v>
      </c>
      <c r="F140" s="16" t="s">
        <v>59</v>
      </c>
      <c r="G140" s="16" t="s">
        <v>500</v>
      </c>
    </row>
    <row r="141" customFormat="false" ht="15" hidden="false" customHeight="false" outlineLevel="0" collapsed="false">
      <c r="A141" s="16" t="s">
        <v>153</v>
      </c>
      <c r="B141" s="16" t="s">
        <v>151</v>
      </c>
      <c r="C141" s="16" t="s">
        <v>574</v>
      </c>
      <c r="D141" s="18" t="n">
        <v>1700</v>
      </c>
      <c r="E141" s="19" t="n">
        <f aca="false">D141/INDEX('1.1 Contratos 5550'!F:F,MATCH(B141,'1.1 Contratos 5550'!A:A,0))</f>
        <v>3.06306306306306E-006</v>
      </c>
      <c r="F141" s="16" t="s">
        <v>59</v>
      </c>
      <c r="G141" s="16" t="s">
        <v>500</v>
      </c>
    </row>
    <row r="142" customFormat="false" ht="15" hidden="false" customHeight="false" outlineLevel="0" collapsed="false">
      <c r="A142" s="16" t="s">
        <v>153</v>
      </c>
      <c r="B142" s="16" t="s">
        <v>151</v>
      </c>
      <c r="C142" s="16" t="s">
        <v>575</v>
      </c>
      <c r="D142" s="18" t="n">
        <v>1687</v>
      </c>
      <c r="E142" s="19" t="n">
        <f aca="false">D142/INDEX('1.1 Contratos 5550'!F:F,MATCH(B142,'1.1 Contratos 5550'!A:A,0))</f>
        <v>3.03963963963964E-006</v>
      </c>
      <c r="F142" s="16" t="s">
        <v>59</v>
      </c>
      <c r="G142" s="16"/>
    </row>
    <row r="143" customFormat="false" ht="15" hidden="false" customHeight="false" outlineLevel="0" collapsed="false">
      <c r="A143" s="16" t="s">
        <v>153</v>
      </c>
      <c r="B143" s="16" t="s">
        <v>151</v>
      </c>
      <c r="C143" s="16" t="s">
        <v>576</v>
      </c>
      <c r="D143" s="18" t="n">
        <v>1300</v>
      </c>
      <c r="E143" s="19" t="n">
        <f aca="false">D143/INDEX('1.1 Contratos 5550'!F:F,MATCH(B143,'1.1 Contratos 5550'!A:A,0))</f>
        <v>2.34234234234234E-006</v>
      </c>
      <c r="F143" s="16" t="s">
        <v>59</v>
      </c>
      <c r="G143" s="16" t="s">
        <v>500</v>
      </c>
    </row>
    <row r="144" customFormat="false" ht="15" hidden="false" customHeight="false" outlineLevel="0" collapsed="false">
      <c r="A144" s="16" t="s">
        <v>153</v>
      </c>
      <c r="B144" s="16" t="s">
        <v>151</v>
      </c>
      <c r="C144" s="16" t="s">
        <v>577</v>
      </c>
      <c r="D144" s="18" t="n">
        <v>1282</v>
      </c>
      <c r="E144" s="19" t="n">
        <f aca="false">D144/INDEX('1.1 Contratos 5550'!F:F,MATCH(B144,'1.1 Contratos 5550'!A:A,0))</f>
        <v>2.30990990990991E-006</v>
      </c>
      <c r="F144" s="16" t="s">
        <v>59</v>
      </c>
      <c r="G144" s="16" t="s">
        <v>500</v>
      </c>
    </row>
    <row r="145" customFormat="false" ht="15" hidden="false" customHeight="false" outlineLevel="0" collapsed="false">
      <c r="A145" s="16" t="s">
        <v>153</v>
      </c>
      <c r="B145" s="16" t="s">
        <v>151</v>
      </c>
      <c r="C145" s="16" t="s">
        <v>578</v>
      </c>
      <c r="D145" s="18" t="n">
        <v>1282</v>
      </c>
      <c r="E145" s="19" t="n">
        <f aca="false">D145/INDEX('1.1 Contratos 5550'!F:F,MATCH(B145,'1.1 Contratos 5550'!A:A,0))</f>
        <v>2.30990990990991E-006</v>
      </c>
      <c r="F145" s="16" t="s">
        <v>59</v>
      </c>
      <c r="G145" s="16" t="s">
        <v>500</v>
      </c>
    </row>
    <row r="146" customFormat="false" ht="15" hidden="false" customHeight="false" outlineLevel="0" collapsed="false">
      <c r="A146" s="16" t="s">
        <v>153</v>
      </c>
      <c r="B146" s="16" t="s">
        <v>151</v>
      </c>
      <c r="C146" s="16" t="s">
        <v>579</v>
      </c>
      <c r="D146" s="18" t="n">
        <v>1200</v>
      </c>
      <c r="E146" s="19" t="n">
        <f aca="false">D146/INDEX('1.1 Contratos 5550'!F:F,MATCH(B146,'1.1 Contratos 5550'!A:A,0))</f>
        <v>2.16216216216216E-006</v>
      </c>
      <c r="F146" s="16" t="s">
        <v>59</v>
      </c>
      <c r="G146" s="16" t="s">
        <v>500</v>
      </c>
    </row>
    <row r="147" customFormat="false" ht="15" hidden="false" customHeight="false" outlineLevel="0" collapsed="false">
      <c r="A147" s="16" t="s">
        <v>153</v>
      </c>
      <c r="B147" s="16" t="s">
        <v>151</v>
      </c>
      <c r="C147" s="16" t="s">
        <v>580</v>
      </c>
      <c r="D147" s="18" t="n">
        <v>1200</v>
      </c>
      <c r="E147" s="19" t="n">
        <f aca="false">D147/INDEX('1.1 Contratos 5550'!F:F,MATCH(B147,'1.1 Contratos 5550'!A:A,0))</f>
        <v>2.16216216216216E-006</v>
      </c>
      <c r="F147" s="16" t="s">
        <v>59</v>
      </c>
      <c r="G147" s="16" t="s">
        <v>500</v>
      </c>
    </row>
    <row r="148" customFormat="false" ht="15" hidden="false" customHeight="false" outlineLevel="0" collapsed="false">
      <c r="A148" s="16" t="s">
        <v>153</v>
      </c>
      <c r="B148" s="16" t="s">
        <v>151</v>
      </c>
      <c r="C148" s="16" t="s">
        <v>581</v>
      </c>
      <c r="D148" s="18" t="n">
        <v>1200</v>
      </c>
      <c r="E148" s="19" t="n">
        <f aca="false">D148/INDEX('1.1 Contratos 5550'!F:F,MATCH(B148,'1.1 Contratos 5550'!A:A,0))</f>
        <v>2.16216216216216E-006</v>
      </c>
      <c r="F148" s="16" t="s">
        <v>59</v>
      </c>
      <c r="G148" s="16" t="s">
        <v>500</v>
      </c>
    </row>
    <row r="149" customFormat="false" ht="15" hidden="false" customHeight="false" outlineLevel="0" collapsed="false">
      <c r="A149" s="16" t="s">
        <v>153</v>
      </c>
      <c r="B149" s="16" t="s">
        <v>151</v>
      </c>
      <c r="C149" s="16" t="s">
        <v>582</v>
      </c>
      <c r="D149" s="18" t="n">
        <v>1160.88</v>
      </c>
      <c r="E149" s="19" t="n">
        <f aca="false">D149/INDEX('1.1 Contratos 5550'!F:F,MATCH(B149,'1.1 Contratos 5550'!A:A,0))</f>
        <v>2.09167567567568E-006</v>
      </c>
      <c r="F149" s="16" t="s">
        <v>59</v>
      </c>
      <c r="G149" s="16" t="s">
        <v>500</v>
      </c>
    </row>
    <row r="150" customFormat="false" ht="15" hidden="false" customHeight="false" outlineLevel="0" collapsed="false">
      <c r="A150" s="16" t="s">
        <v>153</v>
      </c>
      <c r="B150" s="16" t="s">
        <v>151</v>
      </c>
      <c r="C150" s="16" t="s">
        <v>583</v>
      </c>
      <c r="D150" s="18" t="n">
        <v>1135</v>
      </c>
      <c r="E150" s="19" t="n">
        <f aca="false">D150/INDEX('1.1 Contratos 5550'!F:F,MATCH(B150,'1.1 Contratos 5550'!A:A,0))</f>
        <v>2.04504504504505E-006</v>
      </c>
      <c r="F150" s="16" t="s">
        <v>59</v>
      </c>
      <c r="G150" s="16"/>
    </row>
    <row r="151" customFormat="false" ht="15" hidden="false" customHeight="false" outlineLevel="0" collapsed="false">
      <c r="A151" s="16" t="s">
        <v>153</v>
      </c>
      <c r="B151" s="16" t="s">
        <v>151</v>
      </c>
      <c r="C151" s="16" t="s">
        <v>151</v>
      </c>
      <c r="D151" s="18" t="n">
        <v>1000</v>
      </c>
      <c r="E151" s="19" t="n">
        <f aca="false">D151/INDEX('1.1 Contratos 5550'!F:F,MATCH(B151,'1.1 Contratos 5550'!A:A,0))</f>
        <v>1.8018018018018E-006</v>
      </c>
      <c r="F151" s="16" t="s">
        <v>67</v>
      </c>
      <c r="G151" s="16"/>
    </row>
    <row r="152" customFormat="false" ht="15" hidden="false" customHeight="false" outlineLevel="0" collapsed="false">
      <c r="A152" s="16" t="s">
        <v>153</v>
      </c>
      <c r="B152" s="16" t="s">
        <v>151</v>
      </c>
      <c r="C152" s="16" t="s">
        <v>584</v>
      </c>
      <c r="D152" s="18" t="n">
        <v>1000</v>
      </c>
      <c r="E152" s="19" t="n">
        <f aca="false">D152/INDEX('1.1 Contratos 5550'!F:F,MATCH(B152,'1.1 Contratos 5550'!A:A,0))</f>
        <v>1.8018018018018E-006</v>
      </c>
      <c r="F152" s="16" t="s">
        <v>59</v>
      </c>
      <c r="G152" s="16"/>
    </row>
    <row r="153" customFormat="false" ht="15" hidden="false" customHeight="false" outlineLevel="0" collapsed="false">
      <c r="A153" s="16" t="s">
        <v>153</v>
      </c>
      <c r="B153" s="16" t="s">
        <v>151</v>
      </c>
      <c r="C153" s="16" t="s">
        <v>585</v>
      </c>
      <c r="D153" s="18" t="n">
        <v>1000</v>
      </c>
      <c r="E153" s="19" t="n">
        <f aca="false">D153/INDEX('1.1 Contratos 5550'!F:F,MATCH(B153,'1.1 Contratos 5550'!A:A,0))</f>
        <v>1.8018018018018E-006</v>
      </c>
      <c r="F153" s="16" t="s">
        <v>59</v>
      </c>
      <c r="G153" s="16"/>
    </row>
    <row r="154" customFormat="false" ht="15" hidden="false" customHeight="false" outlineLevel="0" collapsed="false">
      <c r="A154" s="16" t="s">
        <v>153</v>
      </c>
      <c r="B154" s="16" t="s">
        <v>151</v>
      </c>
      <c r="C154" s="16" t="s">
        <v>586</v>
      </c>
      <c r="D154" s="18" t="n">
        <v>1000</v>
      </c>
      <c r="E154" s="19" t="n">
        <f aca="false">D154/INDEX('1.1 Contratos 5550'!F:F,MATCH(B154,'1.1 Contratos 5550'!A:A,0))</f>
        <v>1.8018018018018E-006</v>
      </c>
      <c r="F154" s="16" t="s">
        <v>59</v>
      </c>
      <c r="G154" s="16"/>
    </row>
    <row r="155" customFormat="false" ht="15" hidden="false" customHeight="false" outlineLevel="0" collapsed="false">
      <c r="A155" s="16" t="s">
        <v>153</v>
      </c>
      <c r="B155" s="16" t="s">
        <v>151</v>
      </c>
      <c r="C155" s="16" t="s">
        <v>587</v>
      </c>
      <c r="D155" s="18" t="n">
        <v>1000</v>
      </c>
      <c r="E155" s="19" t="n">
        <f aca="false">D155/INDEX('1.1 Contratos 5550'!F:F,MATCH(B155,'1.1 Contratos 5550'!A:A,0))</f>
        <v>1.8018018018018E-006</v>
      </c>
      <c r="F155" s="16" t="s">
        <v>59</v>
      </c>
      <c r="G155" s="16" t="s">
        <v>500</v>
      </c>
    </row>
    <row r="156" customFormat="false" ht="15" hidden="false" customHeight="false" outlineLevel="0" collapsed="false">
      <c r="A156" s="16" t="s">
        <v>153</v>
      </c>
      <c r="B156" s="16" t="s">
        <v>151</v>
      </c>
      <c r="C156" s="16" t="s">
        <v>588</v>
      </c>
      <c r="D156" s="18" t="n">
        <v>1000</v>
      </c>
      <c r="E156" s="19" t="n">
        <f aca="false">D156/INDEX('1.1 Contratos 5550'!F:F,MATCH(B156,'1.1 Contratos 5550'!A:A,0))</f>
        <v>1.8018018018018E-006</v>
      </c>
      <c r="F156" s="16" t="s">
        <v>59</v>
      </c>
      <c r="G156" s="16" t="s">
        <v>500</v>
      </c>
    </row>
    <row r="157" customFormat="false" ht="15" hidden="false" customHeight="false" outlineLevel="0" collapsed="false">
      <c r="A157" s="16" t="s">
        <v>153</v>
      </c>
      <c r="B157" s="16" t="s">
        <v>151</v>
      </c>
      <c r="C157" s="16" t="s">
        <v>589</v>
      </c>
      <c r="D157" s="18" t="n">
        <v>1000</v>
      </c>
      <c r="E157" s="19" t="n">
        <f aca="false">D157/INDEX('1.1 Contratos 5550'!F:F,MATCH(B157,'1.1 Contratos 5550'!A:A,0))</f>
        <v>1.8018018018018E-006</v>
      </c>
      <c r="F157" s="16" t="s">
        <v>59</v>
      </c>
      <c r="G157" s="16" t="s">
        <v>500</v>
      </c>
    </row>
    <row r="158" customFormat="false" ht="15" hidden="false" customHeight="false" outlineLevel="0" collapsed="false">
      <c r="A158" s="16" t="s">
        <v>153</v>
      </c>
      <c r="B158" s="16" t="s">
        <v>151</v>
      </c>
      <c r="C158" s="16" t="s">
        <v>590</v>
      </c>
      <c r="D158" s="18" t="n">
        <v>1000</v>
      </c>
      <c r="E158" s="19" t="n">
        <f aca="false">D158/INDEX('1.1 Contratos 5550'!F:F,MATCH(B158,'1.1 Contratos 5550'!A:A,0))</f>
        <v>1.8018018018018E-006</v>
      </c>
      <c r="F158" s="16" t="s">
        <v>59</v>
      </c>
      <c r="G158" s="16" t="s">
        <v>500</v>
      </c>
    </row>
    <row r="159" customFormat="false" ht="15" hidden="false" customHeight="false" outlineLevel="0" collapsed="false">
      <c r="A159" s="16" t="s">
        <v>153</v>
      </c>
      <c r="B159" s="16" t="s">
        <v>151</v>
      </c>
      <c r="C159" s="16" t="s">
        <v>591</v>
      </c>
      <c r="D159" s="18" t="n">
        <v>1000</v>
      </c>
      <c r="E159" s="19" t="n">
        <f aca="false">D159/INDEX('1.1 Contratos 5550'!F:F,MATCH(B159,'1.1 Contratos 5550'!A:A,0))</f>
        <v>1.8018018018018E-006</v>
      </c>
      <c r="F159" s="16" t="s">
        <v>59</v>
      </c>
      <c r="G159" s="16" t="s">
        <v>500</v>
      </c>
    </row>
    <row r="160" customFormat="false" ht="15" hidden="false" customHeight="false" outlineLevel="0" collapsed="false">
      <c r="A160" s="16" t="s">
        <v>153</v>
      </c>
      <c r="B160" s="16" t="s">
        <v>151</v>
      </c>
      <c r="C160" s="16" t="s">
        <v>592</v>
      </c>
      <c r="D160" s="18" t="n">
        <v>1000</v>
      </c>
      <c r="E160" s="19" t="n">
        <f aca="false">D160/INDEX('1.1 Contratos 5550'!F:F,MATCH(B160,'1.1 Contratos 5550'!A:A,0))</f>
        <v>1.8018018018018E-006</v>
      </c>
      <c r="F160" s="16" t="s">
        <v>59</v>
      </c>
      <c r="G160" s="16" t="s">
        <v>500</v>
      </c>
    </row>
    <row r="161" customFormat="false" ht="15" hidden="false" customHeight="false" outlineLevel="0" collapsed="false">
      <c r="A161" s="16" t="s">
        <v>153</v>
      </c>
      <c r="B161" s="16" t="s">
        <v>151</v>
      </c>
      <c r="C161" s="16" t="s">
        <v>593</v>
      </c>
      <c r="D161" s="18" t="n">
        <v>1000</v>
      </c>
      <c r="E161" s="19" t="n">
        <f aca="false">D161/INDEX('1.1 Contratos 5550'!F:F,MATCH(B161,'1.1 Contratos 5550'!A:A,0))</f>
        <v>1.8018018018018E-006</v>
      </c>
      <c r="F161" s="16" t="s">
        <v>59</v>
      </c>
      <c r="G161" s="16" t="s">
        <v>500</v>
      </c>
    </row>
    <row r="162" customFormat="false" ht="15" hidden="false" customHeight="false" outlineLevel="0" collapsed="false">
      <c r="A162" s="16" t="s">
        <v>153</v>
      </c>
      <c r="B162" s="16" t="s">
        <v>151</v>
      </c>
      <c r="C162" s="16" t="s">
        <v>594</v>
      </c>
      <c r="D162" s="18" t="n">
        <v>883</v>
      </c>
      <c r="E162" s="19" t="n">
        <f aca="false">D162/INDEX('1.1 Contratos 5550'!F:F,MATCH(B162,'1.1 Contratos 5550'!A:A,0))</f>
        <v>1.59099099099099E-006</v>
      </c>
      <c r="F162" s="16" t="s">
        <v>59</v>
      </c>
      <c r="G162" s="16"/>
    </row>
    <row r="163" customFormat="false" ht="15" hidden="false" customHeight="false" outlineLevel="0" collapsed="false">
      <c r="A163" s="16" t="s">
        <v>153</v>
      </c>
      <c r="B163" s="16" t="s">
        <v>151</v>
      </c>
      <c r="C163" s="16" t="s">
        <v>595</v>
      </c>
      <c r="D163" s="18" t="n">
        <v>808</v>
      </c>
      <c r="E163" s="19" t="n">
        <f aca="false">D163/INDEX('1.1 Contratos 5550'!F:F,MATCH(B163,'1.1 Contratos 5550'!A:A,0))</f>
        <v>1.45585585585586E-006</v>
      </c>
      <c r="F163" s="16" t="s">
        <v>59</v>
      </c>
      <c r="G163" s="16" t="s">
        <v>500</v>
      </c>
    </row>
    <row r="164" customFormat="false" ht="15" hidden="false" customHeight="false" outlineLevel="0" collapsed="false">
      <c r="A164" s="16" t="s">
        <v>153</v>
      </c>
      <c r="B164" s="16" t="s">
        <v>151</v>
      </c>
      <c r="C164" s="16" t="s">
        <v>596</v>
      </c>
      <c r="D164" s="18" t="n">
        <v>600</v>
      </c>
      <c r="E164" s="19" t="n">
        <f aca="false">D164/INDEX('1.1 Contratos 5550'!F:F,MATCH(B164,'1.1 Contratos 5550'!A:A,0))</f>
        <v>1.08108108108108E-006</v>
      </c>
      <c r="F164" s="16" t="s">
        <v>59</v>
      </c>
      <c r="G164" s="16"/>
    </row>
    <row r="165" customFormat="false" ht="15" hidden="false" customHeight="false" outlineLevel="0" collapsed="false">
      <c r="A165" s="16" t="s">
        <v>153</v>
      </c>
      <c r="B165" s="16" t="s">
        <v>151</v>
      </c>
      <c r="C165" s="16" t="s">
        <v>597</v>
      </c>
      <c r="D165" s="18" t="n">
        <v>500</v>
      </c>
      <c r="E165" s="19" t="n">
        <f aca="false">D165/INDEX('1.1 Contratos 5550'!F:F,MATCH(B165,'1.1 Contratos 5550'!A:A,0))</f>
        <v>9.00900900900901E-007</v>
      </c>
      <c r="F165" s="16" t="s">
        <v>59</v>
      </c>
      <c r="G165" s="16" t="s">
        <v>500</v>
      </c>
    </row>
    <row r="166" customFormat="false" ht="15" hidden="false" customHeight="false" outlineLevel="0" collapsed="false">
      <c r="A166" s="16" t="s">
        <v>153</v>
      </c>
      <c r="B166" s="16" t="s">
        <v>151</v>
      </c>
      <c r="C166" s="16" t="s">
        <v>598</v>
      </c>
      <c r="D166" s="18" t="n">
        <v>500</v>
      </c>
      <c r="E166" s="19" t="n">
        <f aca="false">D166/INDEX('1.1 Contratos 5550'!F:F,MATCH(B166,'1.1 Contratos 5550'!A:A,0))</f>
        <v>9.00900900900901E-007</v>
      </c>
      <c r="F166" s="16" t="s">
        <v>59</v>
      </c>
      <c r="G166" s="16" t="s">
        <v>500</v>
      </c>
    </row>
    <row r="167" customFormat="false" ht="15" hidden="false" customHeight="false" outlineLevel="0" collapsed="false">
      <c r="A167" s="16" t="s">
        <v>153</v>
      </c>
      <c r="B167" s="16" t="s">
        <v>151</v>
      </c>
      <c r="C167" s="16" t="s">
        <v>599</v>
      </c>
      <c r="D167" s="18" t="n">
        <v>500</v>
      </c>
      <c r="E167" s="19" t="n">
        <f aca="false">D167/INDEX('1.1 Contratos 5550'!F:F,MATCH(B167,'1.1 Contratos 5550'!A:A,0))</f>
        <v>9.00900900900901E-007</v>
      </c>
      <c r="F167" s="16" t="s">
        <v>59</v>
      </c>
      <c r="G167" s="16" t="s">
        <v>500</v>
      </c>
    </row>
    <row r="168" customFormat="false" ht="15" hidden="false" customHeight="false" outlineLevel="0" collapsed="false">
      <c r="A168" s="16" t="s">
        <v>153</v>
      </c>
      <c r="B168" s="16" t="s">
        <v>151</v>
      </c>
      <c r="C168" s="16" t="s">
        <v>600</v>
      </c>
      <c r="D168" s="18" t="n">
        <v>390.23</v>
      </c>
      <c r="E168" s="19" t="n">
        <f aca="false">D168/INDEX('1.1 Contratos 5550'!F:F,MATCH(B168,'1.1 Contratos 5550'!A:A,0))</f>
        <v>7.03117117117117E-007</v>
      </c>
      <c r="F168" s="16" t="s">
        <v>59</v>
      </c>
      <c r="G168" s="16" t="s">
        <v>500</v>
      </c>
    </row>
    <row r="169" customFormat="false" ht="15" hidden="false" customHeight="false" outlineLevel="0" collapsed="false">
      <c r="A169" s="16" t="s">
        <v>153</v>
      </c>
      <c r="B169" s="16" t="s">
        <v>151</v>
      </c>
      <c r="C169" s="16" t="s">
        <v>601</v>
      </c>
      <c r="D169" s="18" t="n">
        <v>324.5</v>
      </c>
      <c r="E169" s="19" t="n">
        <f aca="false">D169/INDEX('1.1 Contratos 5550'!F:F,MATCH(B169,'1.1 Contratos 5550'!A:A,0))</f>
        <v>5.84684684684685E-007</v>
      </c>
      <c r="F169" s="16" t="s">
        <v>59</v>
      </c>
      <c r="G169" s="16" t="s">
        <v>500</v>
      </c>
    </row>
    <row r="170" customFormat="false" ht="15" hidden="false" customHeight="false" outlineLevel="0" collapsed="false">
      <c r="A170" s="16" t="s">
        <v>153</v>
      </c>
      <c r="B170" s="16" t="s">
        <v>151</v>
      </c>
      <c r="C170" s="16" t="s">
        <v>602</v>
      </c>
      <c r="D170" s="18" t="n">
        <v>300</v>
      </c>
      <c r="E170" s="19" t="n">
        <f aca="false">D170/INDEX('1.1 Contratos 5550'!F:F,MATCH(B170,'1.1 Contratos 5550'!A:A,0))</f>
        <v>5.40540540540541E-007</v>
      </c>
      <c r="F170" s="16" t="s">
        <v>59</v>
      </c>
      <c r="G170" s="16" t="s">
        <v>500</v>
      </c>
    </row>
    <row r="171" customFormat="false" ht="15" hidden="false" customHeight="false" outlineLevel="0" collapsed="false">
      <c r="A171" s="16" t="s">
        <v>153</v>
      </c>
      <c r="B171" s="16" t="s">
        <v>151</v>
      </c>
      <c r="C171" s="16" t="s">
        <v>603</v>
      </c>
      <c r="D171" s="18" t="n">
        <v>300</v>
      </c>
      <c r="E171" s="19" t="n">
        <f aca="false">D171/INDEX('1.1 Contratos 5550'!F:F,MATCH(B171,'1.1 Contratos 5550'!A:A,0))</f>
        <v>5.40540540540541E-007</v>
      </c>
      <c r="F171" s="16" t="s">
        <v>59</v>
      </c>
      <c r="G171" s="16" t="s">
        <v>500</v>
      </c>
    </row>
    <row r="172" customFormat="false" ht="15" hidden="false" customHeight="false" outlineLevel="0" collapsed="false">
      <c r="A172" s="16" t="s">
        <v>153</v>
      </c>
      <c r="B172" s="16" t="s">
        <v>151</v>
      </c>
      <c r="C172" s="16" t="s">
        <v>604</v>
      </c>
      <c r="D172" s="18" t="n">
        <v>280.5</v>
      </c>
      <c r="E172" s="19" t="n">
        <f aca="false">D172/INDEX('1.1 Contratos 5550'!F:F,MATCH(B172,'1.1 Contratos 5550'!A:A,0))</f>
        <v>5.05405405405405E-007</v>
      </c>
      <c r="F172" s="16" t="s">
        <v>59</v>
      </c>
      <c r="G172" s="16"/>
    </row>
    <row r="173" customFormat="false" ht="15" hidden="false" customHeight="false" outlineLevel="0" collapsed="false">
      <c r="A173" s="16" t="s">
        <v>153</v>
      </c>
      <c r="B173" s="16" t="s">
        <v>151</v>
      </c>
      <c r="C173" s="16" t="s">
        <v>605</v>
      </c>
      <c r="D173" s="18" t="n">
        <v>274.5</v>
      </c>
      <c r="E173" s="19" t="n">
        <f aca="false">D173/INDEX('1.1 Contratos 5550'!F:F,MATCH(B173,'1.1 Contratos 5550'!A:A,0))</f>
        <v>4.94594594594595E-007</v>
      </c>
      <c r="F173" s="16" t="s">
        <v>59</v>
      </c>
      <c r="G173" s="16" t="s">
        <v>500</v>
      </c>
    </row>
    <row r="174" customFormat="false" ht="15" hidden="false" customHeight="false" outlineLevel="0" collapsed="false">
      <c r="A174" s="16" t="s">
        <v>153</v>
      </c>
      <c r="B174" s="16" t="s">
        <v>151</v>
      </c>
      <c r="C174" s="16" t="s">
        <v>606</v>
      </c>
      <c r="D174" s="18" t="n">
        <v>260</v>
      </c>
      <c r="E174" s="19" t="n">
        <f aca="false">D174/INDEX('1.1 Contratos 5550'!F:F,MATCH(B174,'1.1 Contratos 5550'!A:A,0))</f>
        <v>4.68468468468468E-007</v>
      </c>
      <c r="F174" s="16" t="s">
        <v>59</v>
      </c>
      <c r="G174" s="16" t="s">
        <v>500</v>
      </c>
    </row>
    <row r="175" customFormat="false" ht="15" hidden="false" customHeight="false" outlineLevel="0" collapsed="false">
      <c r="A175" s="16" t="s">
        <v>153</v>
      </c>
      <c r="B175" s="16" t="s">
        <v>151</v>
      </c>
      <c r="C175" s="16" t="s">
        <v>607</v>
      </c>
      <c r="D175" s="18" t="n">
        <v>208.46</v>
      </c>
      <c r="E175" s="19" t="n">
        <f aca="false">D175/INDEX('1.1 Contratos 5550'!F:F,MATCH(B175,'1.1 Contratos 5550'!A:A,0))</f>
        <v>3.75603603603604E-007</v>
      </c>
      <c r="F175" s="16" t="s">
        <v>59</v>
      </c>
      <c r="G175" s="16" t="s">
        <v>500</v>
      </c>
    </row>
    <row r="176" customFormat="false" ht="15" hidden="false" customHeight="false" outlineLevel="0" collapsed="false">
      <c r="A176" s="16" t="s">
        <v>153</v>
      </c>
      <c r="B176" s="16" t="s">
        <v>151</v>
      </c>
      <c r="C176" s="16" t="s">
        <v>608</v>
      </c>
      <c r="D176" s="18" t="n">
        <v>200</v>
      </c>
      <c r="E176" s="19" t="n">
        <f aca="false">D176/INDEX('1.1 Contratos 5550'!F:F,MATCH(B176,'1.1 Contratos 5550'!A:A,0))</f>
        <v>3.6036036036036E-007</v>
      </c>
      <c r="F176" s="16" t="s">
        <v>59</v>
      </c>
      <c r="G176" s="16" t="s">
        <v>500</v>
      </c>
    </row>
    <row r="177" customFormat="false" ht="15" hidden="false" customHeight="false" outlineLevel="0" collapsed="false">
      <c r="A177" s="16" t="s">
        <v>153</v>
      </c>
      <c r="B177" s="16" t="s">
        <v>151</v>
      </c>
      <c r="C177" s="16" t="s">
        <v>609</v>
      </c>
      <c r="D177" s="18" t="n">
        <v>200</v>
      </c>
      <c r="E177" s="19" t="n">
        <f aca="false">D177/INDEX('1.1 Contratos 5550'!F:F,MATCH(B177,'1.1 Contratos 5550'!A:A,0))</f>
        <v>3.6036036036036E-007</v>
      </c>
      <c r="F177" s="16" t="s">
        <v>59</v>
      </c>
      <c r="G177" s="16" t="s">
        <v>500</v>
      </c>
    </row>
    <row r="178" customFormat="false" ht="15" hidden="false" customHeight="false" outlineLevel="0" collapsed="false">
      <c r="A178" s="16" t="s">
        <v>153</v>
      </c>
      <c r="B178" s="16" t="s">
        <v>151</v>
      </c>
      <c r="C178" s="16" t="s">
        <v>610</v>
      </c>
      <c r="D178" s="18" t="n">
        <v>200</v>
      </c>
      <c r="E178" s="19" t="n">
        <f aca="false">D178/INDEX('1.1 Contratos 5550'!F:F,MATCH(B178,'1.1 Contratos 5550'!A:A,0))</f>
        <v>3.6036036036036E-007</v>
      </c>
      <c r="F178" s="16" t="s">
        <v>59</v>
      </c>
      <c r="G178" s="16" t="s">
        <v>500</v>
      </c>
    </row>
    <row r="179" customFormat="false" ht="15" hidden="false" customHeight="false" outlineLevel="0" collapsed="false">
      <c r="A179" s="16" t="s">
        <v>153</v>
      </c>
      <c r="B179" s="16" t="s">
        <v>151</v>
      </c>
      <c r="C179" s="16" t="s">
        <v>611</v>
      </c>
      <c r="D179" s="18" t="n">
        <v>200</v>
      </c>
      <c r="E179" s="19" t="n">
        <f aca="false">D179/INDEX('1.1 Contratos 5550'!F:F,MATCH(B179,'1.1 Contratos 5550'!A:A,0))</f>
        <v>3.6036036036036E-007</v>
      </c>
      <c r="F179" s="16" t="s">
        <v>59</v>
      </c>
      <c r="G179" s="16" t="s">
        <v>500</v>
      </c>
    </row>
    <row r="180" customFormat="false" ht="15" hidden="false" customHeight="false" outlineLevel="0" collapsed="false">
      <c r="A180" s="16" t="s">
        <v>153</v>
      </c>
      <c r="B180" s="16" t="s">
        <v>151</v>
      </c>
      <c r="C180" s="16" t="s">
        <v>612</v>
      </c>
      <c r="D180" s="18" t="n">
        <v>200</v>
      </c>
      <c r="E180" s="19" t="n">
        <f aca="false">D180/INDEX('1.1 Contratos 5550'!F:F,MATCH(B180,'1.1 Contratos 5550'!A:A,0))</f>
        <v>3.6036036036036E-007</v>
      </c>
      <c r="F180" s="16" t="s">
        <v>59</v>
      </c>
      <c r="G180" s="16" t="s">
        <v>500</v>
      </c>
    </row>
    <row r="181" customFormat="false" ht="15" hidden="false" customHeight="false" outlineLevel="0" collapsed="false">
      <c r="A181" s="16" t="s">
        <v>153</v>
      </c>
      <c r="B181" s="16" t="s">
        <v>151</v>
      </c>
      <c r="C181" s="16" t="s">
        <v>613</v>
      </c>
      <c r="D181" s="18" t="n">
        <v>200</v>
      </c>
      <c r="E181" s="19" t="n">
        <f aca="false">D181/INDEX('1.1 Contratos 5550'!F:F,MATCH(B181,'1.1 Contratos 5550'!A:A,0))</f>
        <v>3.6036036036036E-007</v>
      </c>
      <c r="F181" s="16" t="s">
        <v>59</v>
      </c>
      <c r="G181" s="16" t="s">
        <v>500</v>
      </c>
    </row>
    <row r="182" customFormat="false" ht="15" hidden="false" customHeight="false" outlineLevel="0" collapsed="false">
      <c r="A182" s="16" t="s">
        <v>153</v>
      </c>
      <c r="B182" s="16" t="s">
        <v>151</v>
      </c>
      <c r="C182" s="16" t="s">
        <v>614</v>
      </c>
      <c r="D182" s="18" t="n">
        <v>195</v>
      </c>
      <c r="E182" s="19" t="n">
        <f aca="false">D182/INDEX('1.1 Contratos 5550'!F:F,MATCH(B182,'1.1 Contratos 5550'!A:A,0))</f>
        <v>3.51351351351351E-007</v>
      </c>
      <c r="F182" s="16" t="s">
        <v>59</v>
      </c>
      <c r="G182" s="16" t="s">
        <v>500</v>
      </c>
    </row>
    <row r="183" customFormat="false" ht="15" hidden="false" customHeight="false" outlineLevel="0" collapsed="false">
      <c r="A183" s="16" t="s">
        <v>153</v>
      </c>
      <c r="B183" s="16" t="s">
        <v>151</v>
      </c>
      <c r="C183" s="16" t="s">
        <v>615</v>
      </c>
      <c r="D183" s="18" t="n">
        <v>142</v>
      </c>
      <c r="E183" s="19" t="n">
        <f aca="false">D183/INDEX('1.1 Contratos 5550'!F:F,MATCH(B183,'1.1 Contratos 5550'!A:A,0))</f>
        <v>2.55855855855856E-007</v>
      </c>
      <c r="F183" s="16" t="s">
        <v>59</v>
      </c>
      <c r="G183" s="16" t="s">
        <v>500</v>
      </c>
    </row>
    <row r="184" customFormat="false" ht="15" hidden="false" customHeight="false" outlineLevel="0" collapsed="false">
      <c r="A184" s="16" t="s">
        <v>153</v>
      </c>
      <c r="B184" s="16" t="s">
        <v>151</v>
      </c>
      <c r="C184" s="16" t="s">
        <v>616</v>
      </c>
      <c r="D184" s="18" t="n">
        <v>104.99</v>
      </c>
      <c r="E184" s="19" t="n">
        <f aca="false">D184/INDEX('1.1 Contratos 5550'!F:F,MATCH(B184,'1.1 Contratos 5550'!A:A,0))</f>
        <v>1.89171171171171E-007</v>
      </c>
      <c r="F184" s="16" t="s">
        <v>59</v>
      </c>
      <c r="G184" s="16" t="s">
        <v>500</v>
      </c>
    </row>
    <row r="185" customFormat="false" ht="15" hidden="false" customHeight="false" outlineLevel="0" collapsed="false">
      <c r="A185" s="16" t="s">
        <v>153</v>
      </c>
      <c r="B185" s="16" t="s">
        <v>151</v>
      </c>
      <c r="C185" s="16" t="s">
        <v>617</v>
      </c>
      <c r="D185" s="18" t="n">
        <v>100</v>
      </c>
      <c r="E185" s="19" t="n">
        <f aca="false">D185/INDEX('1.1 Contratos 5550'!F:F,MATCH(B185,'1.1 Contratos 5550'!A:A,0))</f>
        <v>1.8018018018018E-007</v>
      </c>
      <c r="F185" s="16" t="s">
        <v>59</v>
      </c>
      <c r="G185" s="16" t="s">
        <v>500</v>
      </c>
    </row>
    <row r="186" customFormat="false" ht="15" hidden="false" customHeight="false" outlineLevel="0" collapsed="false">
      <c r="A186" s="16" t="s">
        <v>153</v>
      </c>
      <c r="B186" s="16" t="s">
        <v>151</v>
      </c>
      <c r="C186" s="16" t="s">
        <v>618</v>
      </c>
      <c r="D186" s="18" t="n">
        <v>100</v>
      </c>
      <c r="E186" s="19" t="n">
        <f aca="false">D186/INDEX('1.1 Contratos 5550'!F:F,MATCH(B186,'1.1 Contratos 5550'!A:A,0))</f>
        <v>1.8018018018018E-007</v>
      </c>
      <c r="F186" s="16" t="s">
        <v>59</v>
      </c>
      <c r="G186" s="16" t="s">
        <v>500</v>
      </c>
    </row>
    <row r="187" customFormat="false" ht="15" hidden="false" customHeight="false" outlineLevel="0" collapsed="false">
      <c r="A187" s="16" t="s">
        <v>153</v>
      </c>
      <c r="B187" s="16" t="s">
        <v>151</v>
      </c>
      <c r="C187" s="16" t="s">
        <v>619</v>
      </c>
      <c r="D187" s="18" t="n">
        <v>90</v>
      </c>
      <c r="E187" s="19" t="n">
        <f aca="false">D187/INDEX('1.1 Contratos 5550'!F:F,MATCH(B187,'1.1 Contratos 5550'!A:A,0))</f>
        <v>1.62162162162162E-007</v>
      </c>
      <c r="F187" s="16" t="s">
        <v>59</v>
      </c>
      <c r="G187" s="16"/>
    </row>
    <row r="188" customFormat="false" ht="15" hidden="false" customHeight="false" outlineLevel="0" collapsed="false">
      <c r="A188" s="16" t="s">
        <v>153</v>
      </c>
      <c r="B188" s="16" t="s">
        <v>151</v>
      </c>
      <c r="C188" s="16" t="s">
        <v>620</v>
      </c>
      <c r="D188" s="18" t="n">
        <v>80.73</v>
      </c>
      <c r="E188" s="19" t="n">
        <f aca="false">D188/INDEX('1.1 Contratos 5550'!F:F,MATCH(B188,'1.1 Contratos 5550'!A:A,0))</f>
        <v>1.45459459459459E-007</v>
      </c>
      <c r="F188" s="16" t="s">
        <v>59</v>
      </c>
      <c r="G188" s="16" t="s">
        <v>500</v>
      </c>
    </row>
    <row r="189" customFormat="false" ht="15" hidden="false" customHeight="false" outlineLevel="0" collapsed="false">
      <c r="A189" s="16" t="s">
        <v>153</v>
      </c>
      <c r="B189" s="16" t="s">
        <v>151</v>
      </c>
      <c r="C189" s="16" t="s">
        <v>495</v>
      </c>
      <c r="D189" s="18" t="n">
        <v>79.27</v>
      </c>
      <c r="E189" s="19" t="n">
        <f aca="false">D189/INDEX('1.1 Contratos 5550'!F:F,MATCH(B189,'1.1 Contratos 5550'!A:A,0))</f>
        <v>1.42828828828829E-007</v>
      </c>
      <c r="F189" s="16" t="s">
        <v>496</v>
      </c>
      <c r="G189" s="16"/>
    </row>
    <row r="190" customFormat="false" ht="15" hidden="false" customHeight="false" outlineLevel="0" collapsed="false">
      <c r="A190" s="16" t="s">
        <v>153</v>
      </c>
      <c r="B190" s="16" t="s">
        <v>151</v>
      </c>
      <c r="C190" s="16" t="s">
        <v>621</v>
      </c>
      <c r="D190" s="18" t="n">
        <v>52</v>
      </c>
      <c r="E190" s="19" t="n">
        <f aca="false">D190/INDEX('1.1 Contratos 5550'!F:F,MATCH(B190,'1.1 Contratos 5550'!A:A,0))</f>
        <v>9.36936936936937E-008</v>
      </c>
      <c r="F190" s="16" t="s">
        <v>59</v>
      </c>
      <c r="G190" s="16" t="s">
        <v>500</v>
      </c>
    </row>
    <row r="191" customFormat="false" ht="15" hidden="false" customHeight="false" outlineLevel="0" collapsed="false">
      <c r="A191" s="16" t="s">
        <v>153</v>
      </c>
      <c r="B191" s="16" t="s">
        <v>151</v>
      </c>
      <c r="C191" s="16" t="s">
        <v>622</v>
      </c>
      <c r="D191" s="18" t="n">
        <v>50</v>
      </c>
      <c r="E191" s="19" t="n">
        <f aca="false">D191/INDEX('1.1 Contratos 5550'!F:F,MATCH(B191,'1.1 Contratos 5550'!A:A,0))</f>
        <v>9.00900900900901E-008</v>
      </c>
      <c r="F191" s="16" t="s">
        <v>59</v>
      </c>
      <c r="G191" s="16"/>
    </row>
    <row r="192" customFormat="false" ht="15" hidden="false" customHeight="false" outlineLevel="0" collapsed="false">
      <c r="A192" s="16" t="s">
        <v>153</v>
      </c>
      <c r="B192" s="16" t="s">
        <v>151</v>
      </c>
      <c r="C192" s="16" t="s">
        <v>623</v>
      </c>
      <c r="D192" s="18" t="n">
        <v>50</v>
      </c>
      <c r="E192" s="19" t="n">
        <f aca="false">D192/INDEX('1.1 Contratos 5550'!F:F,MATCH(B192,'1.1 Contratos 5550'!A:A,0))</f>
        <v>9.00900900900901E-008</v>
      </c>
      <c r="F192" s="16" t="s">
        <v>59</v>
      </c>
      <c r="G192" s="16" t="s">
        <v>500</v>
      </c>
    </row>
    <row r="193" customFormat="false" ht="15" hidden="false" customHeight="false" outlineLevel="0" collapsed="false">
      <c r="A193" s="16" t="s">
        <v>153</v>
      </c>
      <c r="B193" s="16" t="s">
        <v>151</v>
      </c>
      <c r="C193" s="16" t="s">
        <v>624</v>
      </c>
      <c r="D193" s="18" t="n">
        <v>50</v>
      </c>
      <c r="E193" s="19" t="n">
        <f aca="false">D193/INDEX('1.1 Contratos 5550'!F:F,MATCH(B193,'1.1 Contratos 5550'!A:A,0))</f>
        <v>9.00900900900901E-008</v>
      </c>
      <c r="F193" s="16" t="s">
        <v>59</v>
      </c>
      <c r="G193" s="16" t="s">
        <v>500</v>
      </c>
    </row>
    <row r="194" customFormat="false" ht="15" hidden="false" customHeight="false" outlineLevel="0" collapsed="false">
      <c r="A194" s="16" t="s">
        <v>153</v>
      </c>
      <c r="B194" s="16" t="s">
        <v>151</v>
      </c>
      <c r="C194" s="16" t="s">
        <v>493</v>
      </c>
      <c r="D194" s="18" t="n">
        <v>48</v>
      </c>
      <c r="E194" s="19" t="n">
        <f aca="false">D194/INDEX('1.1 Contratos 5550'!F:F,MATCH(B194,'1.1 Contratos 5550'!A:A,0))</f>
        <v>8.64864864864865E-008</v>
      </c>
      <c r="F194" s="16" t="s">
        <v>59</v>
      </c>
      <c r="G194" s="16"/>
    </row>
    <row r="195" customFormat="false" ht="15" hidden="false" customHeight="false" outlineLevel="0" collapsed="false">
      <c r="A195" s="16" t="s">
        <v>153</v>
      </c>
      <c r="B195" s="16" t="s">
        <v>151</v>
      </c>
      <c r="C195" s="16" t="s">
        <v>625</v>
      </c>
      <c r="D195" s="18" t="n">
        <v>48</v>
      </c>
      <c r="E195" s="19" t="n">
        <f aca="false">D195/INDEX('1.1 Contratos 5550'!F:F,MATCH(B195,'1.1 Contratos 5550'!A:A,0))</f>
        <v>8.64864864864865E-008</v>
      </c>
      <c r="F195" s="16" t="s">
        <v>59</v>
      </c>
      <c r="G195" s="16" t="s">
        <v>500</v>
      </c>
    </row>
    <row r="196" customFormat="false" ht="15" hidden="false" customHeight="false" outlineLevel="0" collapsed="false">
      <c r="A196" s="16" t="s">
        <v>153</v>
      </c>
      <c r="B196" s="16" t="s">
        <v>151</v>
      </c>
      <c r="C196" s="16" t="s">
        <v>626</v>
      </c>
      <c r="D196" s="18" t="n">
        <v>48</v>
      </c>
      <c r="E196" s="19" t="n">
        <f aca="false">D196/INDEX('1.1 Contratos 5550'!F:F,MATCH(B196,'1.1 Contratos 5550'!A:A,0))</f>
        <v>8.64864864864865E-008</v>
      </c>
      <c r="F196" s="16" t="s">
        <v>59</v>
      </c>
      <c r="G196" s="16" t="s">
        <v>500</v>
      </c>
    </row>
    <row r="197" customFormat="false" ht="15" hidden="false" customHeight="false" outlineLevel="0" collapsed="false">
      <c r="A197" s="16" t="s">
        <v>153</v>
      </c>
      <c r="B197" s="16" t="s">
        <v>151</v>
      </c>
      <c r="C197" s="16" t="s">
        <v>627</v>
      </c>
      <c r="D197" s="18" t="n">
        <v>48</v>
      </c>
      <c r="E197" s="19" t="n">
        <f aca="false">D197/INDEX('1.1 Contratos 5550'!F:F,MATCH(B197,'1.1 Contratos 5550'!A:A,0))</f>
        <v>8.64864864864865E-008</v>
      </c>
      <c r="F197" s="16" t="s">
        <v>59</v>
      </c>
      <c r="G197" s="16" t="s">
        <v>500</v>
      </c>
    </row>
    <row r="198" customFormat="false" ht="15" hidden="false" customHeight="false" outlineLevel="0" collapsed="false">
      <c r="A198" s="16" t="s">
        <v>153</v>
      </c>
      <c r="B198" s="16" t="s">
        <v>151</v>
      </c>
      <c r="C198" s="16" t="s">
        <v>628</v>
      </c>
      <c r="D198" s="18" t="n">
        <v>48</v>
      </c>
      <c r="E198" s="19" t="n">
        <f aca="false">D198/INDEX('1.1 Contratos 5550'!F:F,MATCH(B198,'1.1 Contratos 5550'!A:A,0))</f>
        <v>8.64864864864865E-008</v>
      </c>
      <c r="F198" s="16" t="s">
        <v>59</v>
      </c>
      <c r="G198" s="16" t="s">
        <v>500</v>
      </c>
    </row>
    <row r="199" customFormat="false" ht="15" hidden="false" customHeight="false" outlineLevel="0" collapsed="false">
      <c r="A199" s="16" t="s">
        <v>153</v>
      </c>
      <c r="B199" s="16" t="s">
        <v>151</v>
      </c>
      <c r="C199" s="16" t="s">
        <v>629</v>
      </c>
      <c r="D199" s="18" t="n">
        <v>22</v>
      </c>
      <c r="E199" s="19" t="n">
        <f aca="false">D199/INDEX('1.1 Contratos 5550'!F:F,MATCH(B199,'1.1 Contratos 5550'!A:A,0))</f>
        <v>3.96396396396396E-008</v>
      </c>
      <c r="F199" s="16" t="s">
        <v>59</v>
      </c>
      <c r="G199" s="16" t="s">
        <v>500</v>
      </c>
    </row>
    <row r="200" customFormat="false" ht="15" hidden="false" customHeight="false" outlineLevel="0" collapsed="false">
      <c r="A200" s="16" t="s">
        <v>153</v>
      </c>
      <c r="B200" s="16" t="s">
        <v>151</v>
      </c>
      <c r="C200" s="16" t="s">
        <v>630</v>
      </c>
      <c r="D200" s="18" t="n">
        <v>16</v>
      </c>
      <c r="E200" s="19" t="n">
        <f aca="false">D200/INDEX('1.1 Contratos 5550'!F:F,MATCH(B200,'1.1 Contratos 5550'!A:A,0))</f>
        <v>2.88288288288288E-008</v>
      </c>
      <c r="F200" s="16" t="s">
        <v>59</v>
      </c>
      <c r="G200" s="16" t="s">
        <v>500</v>
      </c>
    </row>
    <row r="201" customFormat="false" ht="15" hidden="false" customHeight="false" outlineLevel="0" collapsed="false">
      <c r="A201" s="16" t="s">
        <v>153</v>
      </c>
      <c r="B201" s="16" t="s">
        <v>151</v>
      </c>
      <c r="C201" s="16" t="s">
        <v>631</v>
      </c>
      <c r="D201" s="18" t="n">
        <v>12</v>
      </c>
      <c r="E201" s="19" t="n">
        <f aca="false">D201/INDEX('1.1 Contratos 5550'!F:F,MATCH(B201,'1.1 Contratos 5550'!A:A,0))</f>
        <v>2.16216216216216E-008</v>
      </c>
      <c r="F201" s="16" t="s">
        <v>59</v>
      </c>
      <c r="G201" s="16" t="s">
        <v>500</v>
      </c>
    </row>
    <row r="202" customFormat="false" ht="15" hidden="false" customHeight="false" outlineLevel="0" collapsed="false">
      <c r="A202" s="16" t="s">
        <v>153</v>
      </c>
      <c r="B202" s="16" t="s">
        <v>151</v>
      </c>
      <c r="C202" s="16" t="s">
        <v>632</v>
      </c>
      <c r="D202" s="18" t="n">
        <v>10</v>
      </c>
      <c r="E202" s="19" t="n">
        <f aca="false">D202/INDEX('1.1 Contratos 5550'!F:F,MATCH(B202,'1.1 Contratos 5550'!A:A,0))</f>
        <v>1.8018018018018E-008</v>
      </c>
      <c r="F202" s="16" t="s">
        <v>59</v>
      </c>
      <c r="G202" s="16"/>
    </row>
    <row r="203" customFormat="false" ht="15" hidden="false" customHeight="false" outlineLevel="0" collapsed="false">
      <c r="A203" s="16" t="s">
        <v>153</v>
      </c>
      <c r="B203" s="16" t="s">
        <v>151</v>
      </c>
      <c r="C203" s="16" t="s">
        <v>633</v>
      </c>
      <c r="D203" s="18" t="n">
        <v>10</v>
      </c>
      <c r="E203" s="19" t="n">
        <f aca="false">D203/INDEX('1.1 Contratos 5550'!F:F,MATCH(B203,'1.1 Contratos 5550'!A:A,0))</f>
        <v>1.8018018018018E-008</v>
      </c>
      <c r="F203" s="16" t="s">
        <v>59</v>
      </c>
      <c r="G203" s="16"/>
    </row>
    <row r="204" customFormat="false" ht="15" hidden="false" customHeight="false" outlineLevel="0" collapsed="false">
      <c r="A204" s="16" t="s">
        <v>153</v>
      </c>
      <c r="B204" s="16" t="s">
        <v>151</v>
      </c>
      <c r="C204" s="16" t="s">
        <v>634</v>
      </c>
      <c r="D204" s="18" t="n">
        <v>10</v>
      </c>
      <c r="E204" s="19" t="n">
        <f aca="false">D204/INDEX('1.1 Contratos 5550'!F:F,MATCH(B204,'1.1 Contratos 5550'!A:A,0))</f>
        <v>1.8018018018018E-008</v>
      </c>
      <c r="F204" s="16" t="s">
        <v>59</v>
      </c>
      <c r="G204" s="16" t="s">
        <v>500</v>
      </c>
    </row>
    <row r="205" customFormat="false" ht="15" hidden="false" customHeight="false" outlineLevel="0" collapsed="false">
      <c r="A205" s="16" t="s">
        <v>153</v>
      </c>
      <c r="B205" s="16" t="s">
        <v>151</v>
      </c>
      <c r="C205" s="16" t="s">
        <v>635</v>
      </c>
      <c r="D205" s="18" t="n">
        <v>10</v>
      </c>
      <c r="E205" s="19" t="n">
        <f aca="false">D205/INDEX('1.1 Contratos 5550'!F:F,MATCH(B205,'1.1 Contratos 5550'!A:A,0))</f>
        <v>1.8018018018018E-008</v>
      </c>
      <c r="F205" s="16" t="s">
        <v>59</v>
      </c>
      <c r="G205" s="16" t="s">
        <v>500</v>
      </c>
    </row>
    <row r="206" customFormat="false" ht="15" hidden="false" customHeight="false" outlineLevel="0" collapsed="false">
      <c r="A206" s="16" t="s">
        <v>153</v>
      </c>
      <c r="B206" s="16" t="s">
        <v>151</v>
      </c>
      <c r="C206" s="16" t="s">
        <v>636</v>
      </c>
      <c r="D206" s="18" t="n">
        <v>10</v>
      </c>
      <c r="E206" s="19" t="n">
        <f aca="false">D206/INDEX('1.1 Contratos 5550'!F:F,MATCH(B206,'1.1 Contratos 5550'!A:A,0))</f>
        <v>1.8018018018018E-008</v>
      </c>
      <c r="F206" s="16" t="s">
        <v>59</v>
      </c>
      <c r="G206" s="16" t="s">
        <v>500</v>
      </c>
    </row>
    <row r="207" customFormat="false" ht="15" hidden="false" customHeight="false" outlineLevel="0" collapsed="false">
      <c r="A207" s="16" t="s">
        <v>153</v>
      </c>
      <c r="B207" s="16" t="s">
        <v>151</v>
      </c>
      <c r="C207" s="16" t="s">
        <v>637</v>
      </c>
      <c r="D207" s="18" t="n">
        <v>9</v>
      </c>
      <c r="E207" s="19" t="n">
        <f aca="false">D207/INDEX('1.1 Contratos 5550'!F:F,MATCH(B207,'1.1 Contratos 5550'!A:A,0))</f>
        <v>1.62162162162162E-008</v>
      </c>
      <c r="F207" s="16" t="s">
        <v>59</v>
      </c>
      <c r="G207" s="16"/>
    </row>
    <row r="208" customFormat="false" ht="15" hidden="false" customHeight="false" outlineLevel="0" collapsed="false">
      <c r="A208" s="16" t="s">
        <v>153</v>
      </c>
      <c r="B208" s="16" t="s">
        <v>151</v>
      </c>
      <c r="C208" s="16" t="s">
        <v>638</v>
      </c>
      <c r="D208" s="18" t="n">
        <v>5</v>
      </c>
      <c r="E208" s="19" t="n">
        <f aca="false">D208/INDEX('1.1 Contratos 5550'!F:F,MATCH(B208,'1.1 Contratos 5550'!A:A,0))</f>
        <v>9.00900900900901E-009</v>
      </c>
      <c r="F208" s="16" t="s">
        <v>59</v>
      </c>
      <c r="G208" s="16"/>
    </row>
    <row r="209" customFormat="false" ht="15" hidden="false" customHeight="false" outlineLevel="0" collapsed="false">
      <c r="A209" s="16" t="s">
        <v>153</v>
      </c>
      <c r="B209" s="16" t="s">
        <v>151</v>
      </c>
      <c r="C209" s="16" t="s">
        <v>530</v>
      </c>
      <c r="D209" s="18" t="n">
        <v>5</v>
      </c>
      <c r="E209" s="19" t="n">
        <f aca="false">D209/INDEX('1.1 Contratos 5550'!F:F,MATCH(B209,'1.1 Contratos 5550'!A:A,0))</f>
        <v>9.00900900900901E-009</v>
      </c>
      <c r="F209" s="16" t="s">
        <v>59</v>
      </c>
      <c r="G209" s="16"/>
    </row>
    <row r="210" customFormat="false" ht="15" hidden="false" customHeight="false" outlineLevel="0" collapsed="false">
      <c r="A210" s="16" t="s">
        <v>153</v>
      </c>
      <c r="B210" s="16" t="s">
        <v>151</v>
      </c>
      <c r="C210" s="16" t="s">
        <v>639</v>
      </c>
      <c r="D210" s="18" t="n">
        <v>5</v>
      </c>
      <c r="E210" s="19" t="n">
        <f aca="false">D210/INDEX('1.1 Contratos 5550'!F:F,MATCH(B210,'1.1 Contratos 5550'!A:A,0))</f>
        <v>9.00900900900901E-009</v>
      </c>
      <c r="F210" s="16" t="s">
        <v>59</v>
      </c>
      <c r="G210" s="16"/>
    </row>
    <row r="211" customFormat="false" ht="15" hidden="false" customHeight="false" outlineLevel="0" collapsed="false">
      <c r="A211" s="16" t="s">
        <v>153</v>
      </c>
      <c r="B211" s="16" t="s">
        <v>151</v>
      </c>
      <c r="C211" s="16" t="s">
        <v>640</v>
      </c>
      <c r="D211" s="18" t="n">
        <v>5</v>
      </c>
      <c r="E211" s="19" t="n">
        <f aca="false">D211/INDEX('1.1 Contratos 5550'!F:F,MATCH(B211,'1.1 Contratos 5550'!A:A,0))</f>
        <v>9.00900900900901E-009</v>
      </c>
      <c r="F211" s="16" t="s">
        <v>59</v>
      </c>
      <c r="G211" s="16"/>
    </row>
    <row r="212" customFormat="false" ht="15" hidden="false" customHeight="false" outlineLevel="0" collapsed="false">
      <c r="A212" s="16" t="s">
        <v>153</v>
      </c>
      <c r="B212" s="16" t="s">
        <v>151</v>
      </c>
      <c r="C212" s="16" t="s">
        <v>641</v>
      </c>
      <c r="D212" s="18" t="n">
        <v>5</v>
      </c>
      <c r="E212" s="19" t="n">
        <f aca="false">D212/INDEX('1.1 Contratos 5550'!F:F,MATCH(B212,'1.1 Contratos 5550'!A:A,0))</f>
        <v>9.00900900900901E-009</v>
      </c>
      <c r="F212" s="16" t="s">
        <v>59</v>
      </c>
      <c r="G212" s="16" t="s">
        <v>500</v>
      </c>
    </row>
    <row r="213" customFormat="false" ht="15" hidden="false" customHeight="false" outlineLevel="0" collapsed="false">
      <c r="A213" s="16" t="s">
        <v>153</v>
      </c>
      <c r="B213" s="16" t="s">
        <v>151</v>
      </c>
      <c r="C213" s="16" t="s">
        <v>642</v>
      </c>
      <c r="D213" s="18" t="n">
        <v>5</v>
      </c>
      <c r="E213" s="19" t="n">
        <f aca="false">D213/INDEX('1.1 Contratos 5550'!F:F,MATCH(B213,'1.1 Contratos 5550'!A:A,0))</f>
        <v>9.00900900900901E-009</v>
      </c>
      <c r="F213" s="16" t="s">
        <v>59</v>
      </c>
      <c r="G213" s="16" t="s">
        <v>500</v>
      </c>
    </row>
    <row r="214" customFormat="false" ht="15" hidden="false" customHeight="false" outlineLevel="0" collapsed="false">
      <c r="A214" s="16" t="s">
        <v>153</v>
      </c>
      <c r="B214" s="16" t="s">
        <v>151</v>
      </c>
      <c r="C214" s="16" t="s">
        <v>643</v>
      </c>
      <c r="D214" s="18" t="n">
        <v>5</v>
      </c>
      <c r="E214" s="19" t="n">
        <f aca="false">D214/INDEX('1.1 Contratos 5550'!F:F,MATCH(B214,'1.1 Contratos 5550'!A:A,0))</f>
        <v>9.00900900900901E-009</v>
      </c>
      <c r="F214" s="16" t="s">
        <v>59</v>
      </c>
      <c r="G214" s="16" t="s">
        <v>500</v>
      </c>
    </row>
    <row r="215" customFormat="false" ht="15" hidden="false" customHeight="false" outlineLevel="0" collapsed="false">
      <c r="A215" s="16" t="s">
        <v>153</v>
      </c>
      <c r="B215" s="16" t="s">
        <v>151</v>
      </c>
      <c r="C215" s="16" t="s">
        <v>644</v>
      </c>
      <c r="D215" s="18" t="n">
        <v>4.76</v>
      </c>
      <c r="E215" s="19" t="n">
        <f aca="false">D215/INDEX('1.1 Contratos 5550'!F:F,MATCH(B215,'1.1 Contratos 5550'!A:A,0))</f>
        <v>8.57657657657658E-009</v>
      </c>
      <c r="F215" s="16" t="s">
        <v>59</v>
      </c>
      <c r="G215" s="16" t="s">
        <v>500</v>
      </c>
    </row>
    <row r="216" customFormat="false" ht="15" hidden="false" customHeight="false" outlineLevel="0" collapsed="false">
      <c r="A216" s="16" t="s">
        <v>153</v>
      </c>
      <c r="B216" s="16" t="s">
        <v>151</v>
      </c>
      <c r="C216" s="16" t="s">
        <v>645</v>
      </c>
      <c r="D216" s="18" t="n">
        <v>4</v>
      </c>
      <c r="E216" s="19" t="n">
        <f aca="false">D216/INDEX('1.1 Contratos 5550'!F:F,MATCH(B216,'1.1 Contratos 5550'!A:A,0))</f>
        <v>7.20720720720721E-009</v>
      </c>
      <c r="F216" s="16" t="s">
        <v>59</v>
      </c>
      <c r="G216" s="16"/>
    </row>
    <row r="217" customFormat="false" ht="15" hidden="false" customHeight="false" outlineLevel="0" collapsed="false">
      <c r="A217" s="16" t="s">
        <v>153</v>
      </c>
      <c r="B217" s="16" t="s">
        <v>151</v>
      </c>
      <c r="C217" s="16" t="s">
        <v>510</v>
      </c>
      <c r="D217" s="18" t="n">
        <v>3</v>
      </c>
      <c r="E217" s="19" t="n">
        <f aca="false">D217/INDEX('1.1 Contratos 5550'!F:F,MATCH(B217,'1.1 Contratos 5550'!A:A,0))</f>
        <v>5.40540540540541E-009</v>
      </c>
      <c r="F217" s="16" t="s">
        <v>59</v>
      </c>
      <c r="G217" s="16"/>
    </row>
    <row r="218" customFormat="false" ht="15" hidden="false" customHeight="false" outlineLevel="0" collapsed="false">
      <c r="A218" s="16" t="s">
        <v>153</v>
      </c>
      <c r="B218" s="16" t="s">
        <v>151</v>
      </c>
      <c r="C218" s="16" t="s">
        <v>646</v>
      </c>
      <c r="D218" s="18" t="n">
        <v>3</v>
      </c>
      <c r="E218" s="19" t="n">
        <f aca="false">D218/INDEX('1.1 Contratos 5550'!F:F,MATCH(B218,'1.1 Contratos 5550'!A:A,0))</f>
        <v>5.40540540540541E-009</v>
      </c>
      <c r="F218" s="16" t="s">
        <v>59</v>
      </c>
      <c r="G218" s="16"/>
    </row>
    <row r="219" customFormat="false" ht="15" hidden="false" customHeight="false" outlineLevel="0" collapsed="false">
      <c r="A219" s="16" t="s">
        <v>153</v>
      </c>
      <c r="B219" s="16" t="s">
        <v>151</v>
      </c>
      <c r="C219" s="16" t="s">
        <v>647</v>
      </c>
      <c r="D219" s="18" t="n">
        <v>2.43</v>
      </c>
      <c r="E219" s="19" t="n">
        <f aca="false">D219/INDEX('1.1 Contratos 5550'!F:F,MATCH(B219,'1.1 Contratos 5550'!A:A,0))</f>
        <v>4.37837837837838E-009</v>
      </c>
      <c r="F219" s="16" t="s">
        <v>59</v>
      </c>
      <c r="G219" s="16"/>
    </row>
    <row r="220" customFormat="false" ht="15" hidden="false" customHeight="false" outlineLevel="0" collapsed="false">
      <c r="A220" s="16" t="s">
        <v>153</v>
      </c>
      <c r="B220" s="16" t="s">
        <v>151</v>
      </c>
      <c r="C220" s="16" t="s">
        <v>648</v>
      </c>
      <c r="D220" s="18" t="n">
        <v>2</v>
      </c>
      <c r="E220" s="19" t="n">
        <f aca="false">D220/INDEX('1.1 Contratos 5550'!F:F,MATCH(B220,'1.1 Contratos 5550'!A:A,0))</f>
        <v>3.6036036036036E-009</v>
      </c>
      <c r="F220" s="16" t="s">
        <v>59</v>
      </c>
      <c r="G220" s="16"/>
    </row>
    <row r="221" customFormat="false" ht="15" hidden="false" customHeight="false" outlineLevel="0" collapsed="false">
      <c r="A221" s="16" t="s">
        <v>153</v>
      </c>
      <c r="B221" s="16" t="s">
        <v>151</v>
      </c>
      <c r="C221" s="16" t="s">
        <v>649</v>
      </c>
      <c r="D221" s="18" t="n">
        <v>1.1</v>
      </c>
      <c r="E221" s="19" t="n">
        <f aca="false">D221/INDEX('1.1 Contratos 5550'!F:F,MATCH(B221,'1.1 Contratos 5550'!A:A,0))</f>
        <v>1.98198198198198E-009</v>
      </c>
      <c r="F221" s="16" t="s">
        <v>59</v>
      </c>
      <c r="G221" s="16" t="s">
        <v>500</v>
      </c>
    </row>
    <row r="222" customFormat="false" ht="15" hidden="false" customHeight="false" outlineLevel="0" collapsed="false">
      <c r="A222" s="16" t="s">
        <v>153</v>
      </c>
      <c r="B222" s="16" t="s">
        <v>151</v>
      </c>
      <c r="C222" s="16" t="s">
        <v>650</v>
      </c>
      <c r="D222" s="18" t="n">
        <v>1</v>
      </c>
      <c r="E222" s="19" t="n">
        <f aca="false">D222/INDEX('1.1 Contratos 5550'!F:F,MATCH(B222,'1.1 Contratos 5550'!A:A,0))</f>
        <v>1.8018018018018E-009</v>
      </c>
      <c r="F222" s="16" t="s">
        <v>59</v>
      </c>
      <c r="G222" s="16"/>
    </row>
    <row r="223" customFormat="false" ht="15" hidden="false" customHeight="false" outlineLevel="0" collapsed="false">
      <c r="A223" s="16" t="s">
        <v>153</v>
      </c>
      <c r="B223" s="16" t="s">
        <v>151</v>
      </c>
      <c r="C223" s="16" t="s">
        <v>651</v>
      </c>
      <c r="D223" s="18" t="n">
        <v>1</v>
      </c>
      <c r="E223" s="19" t="n">
        <f aca="false">D223/INDEX('1.1 Contratos 5550'!F:F,MATCH(B223,'1.1 Contratos 5550'!A:A,0))</f>
        <v>1.8018018018018E-009</v>
      </c>
      <c r="F223" s="16" t="s">
        <v>59</v>
      </c>
      <c r="G223" s="16" t="s">
        <v>500</v>
      </c>
    </row>
    <row r="224" customFormat="false" ht="15" hidden="false" customHeight="false" outlineLevel="0" collapsed="false">
      <c r="A224" s="16" t="s">
        <v>153</v>
      </c>
      <c r="B224" s="16" t="s">
        <v>151</v>
      </c>
      <c r="C224" s="16" t="s">
        <v>652</v>
      </c>
      <c r="D224" s="18" t="n">
        <v>0.5</v>
      </c>
      <c r="E224" s="19" t="n">
        <f aca="false">D224/INDEX('1.1 Contratos 5550'!F:F,MATCH(B224,'1.1 Contratos 5550'!A:A,0))</f>
        <v>9.00900900900901E-010</v>
      </c>
      <c r="F224" s="16" t="s">
        <v>59</v>
      </c>
      <c r="G224" s="16"/>
    </row>
    <row r="225" customFormat="false" ht="15" hidden="false" customHeight="false" outlineLevel="0" collapsed="false">
      <c r="A225" s="16" t="s">
        <v>158</v>
      </c>
      <c r="B225" s="16" t="s">
        <v>157</v>
      </c>
      <c r="C225" s="16" t="s">
        <v>490</v>
      </c>
      <c r="D225" s="18" t="n">
        <v>124999940</v>
      </c>
      <c r="E225" s="19" t="n">
        <f aca="false">D225/INDEX('1.1 Contratos 5550'!F:F,MATCH(B225,'1.1 Contratos 5550'!A:A,0))</f>
        <v>0.99999952</v>
      </c>
      <c r="F225" s="16" t="s">
        <v>59</v>
      </c>
      <c r="G225" s="16"/>
    </row>
    <row r="226" customFormat="false" ht="15" hidden="false" customHeight="false" outlineLevel="0" collapsed="false">
      <c r="A226" s="16" t="s">
        <v>158</v>
      </c>
      <c r="B226" s="16" t="s">
        <v>157</v>
      </c>
      <c r="C226" s="16" t="s">
        <v>453</v>
      </c>
      <c r="D226" s="18" t="n">
        <v>60</v>
      </c>
      <c r="E226" s="19" t="n">
        <f aca="false">D226/INDEX('1.1 Contratos 5550'!F:F,MATCH(B226,'1.1 Contratos 5550'!A:A,0))</f>
        <v>4.8E-007</v>
      </c>
      <c r="F226" s="16" t="s">
        <v>67</v>
      </c>
      <c r="G226" s="16"/>
    </row>
    <row r="227" customFormat="false" ht="15" hidden="false" customHeight="false" outlineLevel="0" collapsed="false">
      <c r="A227" s="16" t="s">
        <v>158</v>
      </c>
      <c r="B227" s="16" t="s">
        <v>157</v>
      </c>
      <c r="C227" s="16" t="s">
        <v>494</v>
      </c>
      <c r="D227" s="18" t="n">
        <v>7E-018</v>
      </c>
      <c r="E227" s="19" t="n">
        <f aca="false">D227/INDEX('1.1 Contratos 5550'!F:F,MATCH(B227,'1.1 Contratos 5550'!A:A,0))</f>
        <v>5.6E-026</v>
      </c>
      <c r="F227" s="16" t="s">
        <v>59</v>
      </c>
      <c r="G227" s="16"/>
    </row>
    <row r="228" customFormat="false" ht="15" hidden="false" customHeight="false" outlineLevel="0" collapsed="false">
      <c r="A228" s="16" t="s">
        <v>161</v>
      </c>
      <c r="B228" s="16" t="s">
        <v>159</v>
      </c>
      <c r="C228" s="16" t="s">
        <v>490</v>
      </c>
      <c r="D228" s="18" t="n">
        <v>49999997.5</v>
      </c>
      <c r="E228" s="19" t="n">
        <f aca="false">D228/INDEX('1.1 Contratos 5550'!F:F,MATCH(B228,'1.1 Contratos 5550'!A:A,0))</f>
        <v>0.99999995</v>
      </c>
      <c r="F228" s="16" t="s">
        <v>59</v>
      </c>
      <c r="G228" s="16"/>
    </row>
    <row r="229" customFormat="false" ht="15" hidden="false" customHeight="false" outlineLevel="0" collapsed="false">
      <c r="A229" s="16" t="s">
        <v>161</v>
      </c>
      <c r="B229" s="16" t="s">
        <v>159</v>
      </c>
      <c r="C229" s="16" t="s">
        <v>401</v>
      </c>
      <c r="D229" s="18" t="n">
        <v>2.37</v>
      </c>
      <c r="E229" s="19" t="n">
        <f aca="false">D229/INDEX('1.1 Contratos 5550'!F:F,MATCH(B229,'1.1 Contratos 5550'!A:A,0))</f>
        <v>4.74E-008</v>
      </c>
      <c r="F229" s="16" t="s">
        <v>67</v>
      </c>
      <c r="G229" s="16"/>
    </row>
    <row r="230" customFormat="false" ht="15" hidden="false" customHeight="false" outlineLevel="0" collapsed="false">
      <c r="A230" s="16" t="s">
        <v>161</v>
      </c>
      <c r="B230" s="16" t="s">
        <v>159</v>
      </c>
      <c r="C230" s="16" t="s">
        <v>494</v>
      </c>
      <c r="D230" s="18" t="n">
        <v>0.13</v>
      </c>
      <c r="E230" s="19" t="n">
        <f aca="false">D230/INDEX('1.1 Contratos 5550'!F:F,MATCH(B230,'1.1 Contratos 5550'!A:A,0))</f>
        <v>2.6E-009</v>
      </c>
      <c r="F230" s="16" t="s">
        <v>59</v>
      </c>
      <c r="G230" s="16"/>
    </row>
    <row r="231" customFormat="false" ht="15" hidden="false" customHeight="false" outlineLevel="0" collapsed="false">
      <c r="A231" s="16" t="s">
        <v>161</v>
      </c>
      <c r="B231" s="16" t="s">
        <v>163</v>
      </c>
      <c r="C231" s="16" t="s">
        <v>490</v>
      </c>
      <c r="D231" s="18" t="n">
        <v>1000000000000</v>
      </c>
      <c r="E231" s="19" t="n">
        <f aca="false">D231/INDEX('1.1 Contratos 5550'!F:F,MATCH(B231,'1.1 Contratos 5550'!A:A,0))</f>
        <v>1</v>
      </c>
      <c r="F231" s="16" t="s">
        <v>59</v>
      </c>
      <c r="G231" s="16"/>
    </row>
    <row r="232" customFormat="false" ht="15" hidden="false" customHeight="false" outlineLevel="0" collapsed="false">
      <c r="A232" s="16" t="s">
        <v>167</v>
      </c>
      <c r="B232" s="16" t="s">
        <v>165</v>
      </c>
      <c r="C232" s="16" t="s">
        <v>490</v>
      </c>
      <c r="D232" s="18" t="n">
        <v>20999973.5</v>
      </c>
      <c r="E232" s="19" t="n">
        <f aca="false">D232/INDEX('1.1 Contratos 5550'!F:F,MATCH(B232,'1.1 Contratos 5550'!A:A,0))</f>
        <v>0.999998738095238</v>
      </c>
      <c r="F232" s="16" t="s">
        <v>59</v>
      </c>
      <c r="G232" s="16"/>
    </row>
    <row r="233" customFormat="false" ht="15" hidden="false" customHeight="false" outlineLevel="0" collapsed="false">
      <c r="A233" s="16" t="s">
        <v>167</v>
      </c>
      <c r="B233" s="16" t="s">
        <v>165</v>
      </c>
      <c r="C233" s="16" t="s">
        <v>459</v>
      </c>
      <c r="D233" s="18" t="n">
        <v>26.26</v>
      </c>
      <c r="E233" s="19" t="n">
        <f aca="false">D233/INDEX('1.1 Contratos 5550'!F:F,MATCH(B233,'1.1 Contratos 5550'!A:A,0))</f>
        <v>1.25047619047619E-006</v>
      </c>
      <c r="F233" s="16" t="s">
        <v>67</v>
      </c>
      <c r="G233" s="16"/>
    </row>
    <row r="234" customFormat="false" ht="15" hidden="false" customHeight="false" outlineLevel="0" collapsed="false">
      <c r="A234" s="16" t="s">
        <v>167</v>
      </c>
      <c r="B234" s="16" t="s">
        <v>165</v>
      </c>
      <c r="C234" s="16" t="s">
        <v>494</v>
      </c>
      <c r="D234" s="18" t="n">
        <v>0.24</v>
      </c>
      <c r="E234" s="19" t="n">
        <f aca="false">D234/INDEX('1.1 Contratos 5550'!F:F,MATCH(B234,'1.1 Contratos 5550'!A:A,0))</f>
        <v>1.14285714285714E-008</v>
      </c>
      <c r="F234" s="16" t="s">
        <v>59</v>
      </c>
      <c r="G234" s="16"/>
    </row>
    <row r="235" customFormat="false" ht="15" hidden="false" customHeight="false" outlineLevel="0" collapsed="false">
      <c r="A235" s="16" t="s">
        <v>176</v>
      </c>
      <c r="B235" s="16" t="s">
        <v>174</v>
      </c>
      <c r="C235" s="16" t="s">
        <v>511</v>
      </c>
      <c r="D235" s="18" t="n">
        <v>20000000000</v>
      </c>
      <c r="E235" s="19" t="n">
        <f aca="false">D235/INDEX('1.1 Contratos 5550'!F:F,MATCH(B235,'1.1 Contratos 5550'!A:A,0))</f>
        <v>1</v>
      </c>
      <c r="F235" s="16" t="s">
        <v>59</v>
      </c>
      <c r="G235" s="16"/>
    </row>
    <row r="236" customFormat="false" ht="15" hidden="false" customHeight="false" outlineLevel="0" collapsed="false">
      <c r="A236" s="16" t="s">
        <v>176</v>
      </c>
      <c r="B236" s="16" t="s">
        <v>180</v>
      </c>
      <c r="C236" s="16" t="s">
        <v>511</v>
      </c>
      <c r="D236" s="18" t="n">
        <v>20000000000</v>
      </c>
      <c r="E236" s="19" t="n">
        <f aca="false">D236/INDEX('1.1 Contratos 5550'!F:F,MATCH(B236,'1.1 Contratos 5550'!A:A,0))</f>
        <v>1</v>
      </c>
      <c r="F236" s="16" t="s">
        <v>59</v>
      </c>
      <c r="G236" s="16"/>
    </row>
    <row r="237" customFormat="false" ht="15" hidden="false" customHeight="false" outlineLevel="0" collapsed="false">
      <c r="A237" s="16" t="s">
        <v>183</v>
      </c>
      <c r="B237" s="16" t="s">
        <v>181</v>
      </c>
      <c r="C237" s="16" t="s">
        <v>511</v>
      </c>
      <c r="D237" s="18" t="n">
        <v>20000000000</v>
      </c>
      <c r="E237" s="19" t="n">
        <f aca="false">D237/INDEX('1.1 Contratos 5550'!F:F,MATCH(B237,'1.1 Contratos 5550'!A:A,0))</f>
        <v>1</v>
      </c>
      <c r="F237" s="16" t="s">
        <v>59</v>
      </c>
      <c r="G237" s="16"/>
    </row>
    <row r="238" customFormat="false" ht="15" hidden="false" customHeight="false" outlineLevel="0" collapsed="false">
      <c r="A238" s="16" t="s">
        <v>183</v>
      </c>
      <c r="B238" s="16" t="s">
        <v>185</v>
      </c>
      <c r="C238" s="16" t="s">
        <v>511</v>
      </c>
      <c r="D238" s="18" t="n">
        <v>20000000000</v>
      </c>
      <c r="E238" s="19" t="n">
        <f aca="false">D238/INDEX('1.1 Contratos 5550'!F:F,MATCH(B238,'1.1 Contratos 5550'!A:A,0))</f>
        <v>1</v>
      </c>
      <c r="F238" s="16" t="s">
        <v>59</v>
      </c>
      <c r="G238" s="16"/>
    </row>
    <row r="239" customFormat="false" ht="15" hidden="false" customHeight="false" outlineLevel="0" collapsed="false">
      <c r="A239" s="16" t="s">
        <v>187</v>
      </c>
      <c r="B239" s="16" t="s">
        <v>186</v>
      </c>
      <c r="C239" s="16" t="s">
        <v>511</v>
      </c>
      <c r="D239" s="18" t="n">
        <v>20000000000</v>
      </c>
      <c r="E239" s="19" t="n">
        <f aca="false">D239/INDEX('1.1 Contratos 5550'!F:F,MATCH(B239,'1.1 Contratos 5550'!A:A,0))</f>
        <v>1</v>
      </c>
      <c r="F239" s="16" t="s">
        <v>59</v>
      </c>
      <c r="G239" s="16"/>
    </row>
    <row r="240" customFormat="false" ht="15" hidden="false" customHeight="false" outlineLevel="0" collapsed="false">
      <c r="A240" s="16" t="s">
        <v>187</v>
      </c>
      <c r="B240" s="16" t="s">
        <v>190</v>
      </c>
      <c r="C240" s="16" t="s">
        <v>511</v>
      </c>
      <c r="D240" s="18" t="n">
        <v>20000000000</v>
      </c>
      <c r="E240" s="19" t="n">
        <f aca="false">D240/INDEX('1.1 Contratos 5550'!F:F,MATCH(B240,'1.1 Contratos 5550'!A:A,0))</f>
        <v>1</v>
      </c>
      <c r="F240" s="16" t="s">
        <v>59</v>
      </c>
      <c r="G240" s="16"/>
    </row>
    <row r="241" customFormat="false" ht="15" hidden="false" customHeight="false" outlineLevel="0" collapsed="false">
      <c r="A241" s="16" t="s">
        <v>187</v>
      </c>
      <c r="B241" s="16" t="s">
        <v>191</v>
      </c>
      <c r="C241" s="16" t="s">
        <v>511</v>
      </c>
      <c r="D241" s="18" t="n">
        <v>19989997106.2551</v>
      </c>
      <c r="E241" s="19" t="n">
        <f aca="false">D241/INDEX('1.1 Contratos 5550'!F:F,MATCH(B241,'1.1 Contratos 5550'!A:A,0))</f>
        <v>0.999499855312755</v>
      </c>
      <c r="F241" s="16" t="s">
        <v>59</v>
      </c>
      <c r="G241" s="16"/>
    </row>
    <row r="242" customFormat="false" ht="15" hidden="false" customHeight="false" outlineLevel="0" collapsed="false">
      <c r="A242" s="16" t="s">
        <v>187</v>
      </c>
      <c r="B242" s="16" t="s">
        <v>191</v>
      </c>
      <c r="C242" s="16" t="s">
        <v>467</v>
      </c>
      <c r="D242" s="18" t="n">
        <v>10002893.7448971</v>
      </c>
      <c r="E242" s="19" t="n">
        <f aca="false">D242/INDEX('1.1 Contratos 5550'!F:F,MATCH(B242,'1.1 Contratos 5550'!A:A,0))</f>
        <v>0.000500144687244854</v>
      </c>
      <c r="F242" s="16" t="s">
        <v>67</v>
      </c>
      <c r="G242" s="16"/>
    </row>
    <row r="243" customFormat="false" ht="15" hidden="false" customHeight="false" outlineLevel="0" collapsed="false">
      <c r="A243" s="16" t="s">
        <v>187</v>
      </c>
      <c r="B243" s="16" t="s">
        <v>192</v>
      </c>
      <c r="C243" s="16" t="s">
        <v>511</v>
      </c>
      <c r="D243" s="18" t="n">
        <v>20000000000</v>
      </c>
      <c r="E243" s="19" t="n">
        <f aca="false">D243/INDEX('1.1 Contratos 5550'!F:F,MATCH(B243,'1.1 Contratos 5550'!A:A,0))</f>
        <v>1</v>
      </c>
      <c r="F243" s="16" t="s">
        <v>59</v>
      </c>
      <c r="G243" s="16"/>
    </row>
    <row r="244" customFormat="false" ht="15" hidden="false" customHeight="false" outlineLevel="0" collapsed="false">
      <c r="A244" s="16" t="s">
        <v>194</v>
      </c>
      <c r="B244" s="16" t="s">
        <v>193</v>
      </c>
      <c r="C244" s="16" t="s">
        <v>511</v>
      </c>
      <c r="D244" s="18" t="n">
        <v>20000000000</v>
      </c>
      <c r="E244" s="19" t="n">
        <f aca="false">D244/INDEX('1.1 Contratos 5550'!F:F,MATCH(B244,'1.1 Contratos 5550'!A:A,0))</f>
        <v>1</v>
      </c>
      <c r="F244" s="16" t="s">
        <v>59</v>
      </c>
      <c r="G244" s="16"/>
    </row>
    <row r="245" customFormat="false" ht="15" hidden="false" customHeight="false" outlineLevel="0" collapsed="false">
      <c r="A245" s="16" t="s">
        <v>194</v>
      </c>
      <c r="B245" s="16" t="s">
        <v>196</v>
      </c>
      <c r="C245" s="16" t="s">
        <v>511</v>
      </c>
      <c r="D245" s="18" t="n">
        <v>20000000000</v>
      </c>
      <c r="E245" s="19" t="n">
        <f aca="false">D245/INDEX('1.1 Contratos 5550'!F:F,MATCH(B245,'1.1 Contratos 5550'!A:A,0))</f>
        <v>1</v>
      </c>
      <c r="F245" s="16" t="s">
        <v>59</v>
      </c>
      <c r="G245" s="16"/>
    </row>
    <row r="246" customFormat="false" ht="15" hidden="false" customHeight="false" outlineLevel="0" collapsed="false">
      <c r="A246" s="16" t="s">
        <v>194</v>
      </c>
      <c r="B246" s="16" t="s">
        <v>197</v>
      </c>
      <c r="C246" s="16" t="s">
        <v>511</v>
      </c>
      <c r="D246" s="18" t="n">
        <v>19999894664.3585</v>
      </c>
      <c r="E246" s="19" t="n">
        <f aca="false">D246/INDEX('1.1 Contratos 5550'!F:F,MATCH(B246,'1.1 Contratos 5550'!A:A,0))</f>
        <v>0.999994733217925</v>
      </c>
      <c r="F246" s="16" t="s">
        <v>59</v>
      </c>
      <c r="G246" s="16"/>
    </row>
    <row r="247" customFormat="false" ht="15" hidden="false" customHeight="false" outlineLevel="0" collapsed="false">
      <c r="A247" s="16" t="s">
        <v>194</v>
      </c>
      <c r="B247" s="16" t="s">
        <v>197</v>
      </c>
      <c r="C247" s="16" t="s">
        <v>467</v>
      </c>
      <c r="D247" s="18" t="n">
        <v>105335.641493641</v>
      </c>
      <c r="E247" s="19" t="n">
        <f aca="false">D247/INDEX('1.1 Contratos 5550'!F:F,MATCH(B247,'1.1 Contratos 5550'!A:A,0))</f>
        <v>5.26678207468207E-006</v>
      </c>
      <c r="F247" s="16" t="s">
        <v>67</v>
      </c>
      <c r="G247" s="16"/>
    </row>
    <row r="248" customFormat="false" ht="15" hidden="false" customHeight="false" outlineLevel="0" collapsed="false">
      <c r="A248" s="16" t="s">
        <v>199</v>
      </c>
      <c r="B248" s="16" t="s">
        <v>198</v>
      </c>
      <c r="C248" s="16" t="s">
        <v>648</v>
      </c>
      <c r="D248" s="18" t="n">
        <v>52389453.5519126</v>
      </c>
      <c r="E248" s="19" t="n">
        <f aca="false">D248/INDEX('1.1 Contratos 5550'!F:F,MATCH(B248,'1.1 Contratos 5550'!A:A,0))</f>
        <v>0.952535519125683</v>
      </c>
      <c r="F248" s="16" t="s">
        <v>59</v>
      </c>
      <c r="G248" s="16"/>
    </row>
    <row r="249" customFormat="false" ht="15" hidden="false" customHeight="false" outlineLevel="0" collapsed="false">
      <c r="A249" s="16" t="s">
        <v>199</v>
      </c>
      <c r="B249" s="16" t="s">
        <v>198</v>
      </c>
      <c r="C249" s="16" t="s">
        <v>511</v>
      </c>
      <c r="D249" s="18" t="n">
        <v>1061057.37704918</v>
      </c>
      <c r="E249" s="19" t="n">
        <f aca="false">D249/INDEX('1.1 Contratos 5550'!F:F,MATCH(B249,'1.1 Contratos 5550'!A:A,0))</f>
        <v>0.0192919523099851</v>
      </c>
      <c r="F249" s="16" t="s">
        <v>59</v>
      </c>
      <c r="G249" s="16"/>
    </row>
    <row r="250" customFormat="false" ht="15" hidden="false" customHeight="false" outlineLevel="0" collapsed="false">
      <c r="A250" s="16" t="s">
        <v>199</v>
      </c>
      <c r="B250" s="16" t="s">
        <v>198</v>
      </c>
      <c r="C250" s="16" t="s">
        <v>653</v>
      </c>
      <c r="D250" s="18" t="n">
        <v>1003561.74863388</v>
      </c>
      <c r="E250" s="19" t="n">
        <f aca="false">D250/INDEX('1.1 Contratos 5550'!F:F,MATCH(B250,'1.1 Contratos 5550'!A:A,0))</f>
        <v>0.0182465772478887</v>
      </c>
      <c r="F250" s="16" t="s">
        <v>59</v>
      </c>
      <c r="G250" s="16"/>
    </row>
    <row r="251" customFormat="false" ht="15" hidden="false" customHeight="false" outlineLevel="0" collapsed="false">
      <c r="A251" s="16" t="s">
        <v>199</v>
      </c>
      <c r="B251" s="16" t="s">
        <v>198</v>
      </c>
      <c r="C251" s="16" t="s">
        <v>505</v>
      </c>
      <c r="D251" s="18" t="n">
        <v>445355.191256831</v>
      </c>
      <c r="E251" s="19" t="n">
        <f aca="false">D251/INDEX('1.1 Contratos 5550'!F:F,MATCH(B251,'1.1 Contratos 5550'!A:A,0))</f>
        <v>0.00809736711376056</v>
      </c>
      <c r="F251" s="16" t="s">
        <v>59</v>
      </c>
      <c r="G251" s="16"/>
    </row>
    <row r="252" customFormat="false" ht="15" hidden="false" customHeight="false" outlineLevel="0" collapsed="false">
      <c r="A252" s="16" t="s">
        <v>199</v>
      </c>
      <c r="B252" s="16" t="s">
        <v>198</v>
      </c>
      <c r="C252" s="16" t="s">
        <v>654</v>
      </c>
      <c r="D252" s="18" t="n">
        <v>50371.0382513661</v>
      </c>
      <c r="E252" s="19" t="n">
        <f aca="false">D252/INDEX('1.1 Contratos 5550'!F:F,MATCH(B252,'1.1 Contratos 5550'!A:A,0))</f>
        <v>0.000915837059115748</v>
      </c>
      <c r="F252" s="16" t="s">
        <v>59</v>
      </c>
      <c r="G252" s="16"/>
    </row>
    <row r="253" customFormat="false" ht="15" hidden="false" customHeight="false" outlineLevel="0" collapsed="false">
      <c r="A253" s="16" t="s">
        <v>199</v>
      </c>
      <c r="B253" s="16" t="s">
        <v>198</v>
      </c>
      <c r="C253" s="16" t="s">
        <v>655</v>
      </c>
      <c r="D253" s="18" t="n">
        <v>50019.6721311475</v>
      </c>
      <c r="E253" s="19" t="n">
        <f aca="false">D253/INDEX('1.1 Contratos 5550'!F:F,MATCH(B253,'1.1 Contratos 5550'!A:A,0))</f>
        <v>0.000909448584202683</v>
      </c>
      <c r="F253" s="16" t="s">
        <v>59</v>
      </c>
      <c r="G253" s="16"/>
    </row>
    <row r="254" customFormat="false" ht="15" hidden="false" customHeight="false" outlineLevel="0" collapsed="false">
      <c r="A254" s="16" t="s">
        <v>199</v>
      </c>
      <c r="B254" s="16" t="s">
        <v>198</v>
      </c>
      <c r="C254" s="16" t="s">
        <v>572</v>
      </c>
      <c r="D254" s="18" t="n">
        <v>90.7103825136612</v>
      </c>
      <c r="E254" s="19" t="n">
        <f aca="false">D254/INDEX('1.1 Contratos 5550'!F:F,MATCH(B254,'1.1 Contratos 5550'!A:A,0))</f>
        <v>1.64927968206657E-006</v>
      </c>
      <c r="F254" s="16" t="s">
        <v>59</v>
      </c>
      <c r="G254" s="16"/>
    </row>
    <row r="255" customFormat="false" ht="15" hidden="false" customHeight="false" outlineLevel="0" collapsed="false">
      <c r="A255" s="16" t="s">
        <v>199</v>
      </c>
      <c r="B255" s="16" t="s">
        <v>198</v>
      </c>
      <c r="C255" s="16" t="s">
        <v>656</v>
      </c>
      <c r="D255" s="18" t="n">
        <v>90.7103825136612</v>
      </c>
      <c r="E255" s="19" t="n">
        <f aca="false">D255/INDEX('1.1 Contratos 5550'!F:F,MATCH(B255,'1.1 Contratos 5550'!A:A,0))</f>
        <v>1.64927968206657E-006</v>
      </c>
      <c r="F255" s="16" t="s">
        <v>59</v>
      </c>
      <c r="G255" s="16"/>
    </row>
    <row r="256" customFormat="false" ht="15" hidden="false" customHeight="false" outlineLevel="0" collapsed="false">
      <c r="A256" s="16" t="s">
        <v>203</v>
      </c>
      <c r="B256" s="16" t="s">
        <v>201</v>
      </c>
      <c r="C256" s="16" t="s">
        <v>499</v>
      </c>
      <c r="D256" s="18" t="n">
        <v>1E+018</v>
      </c>
      <c r="E256" s="19" t="n">
        <f aca="false">D256/INDEX('1.1 Contratos 5550'!F:F,MATCH(B256,'1.1 Contratos 5550'!A:A,0))</f>
        <v>1</v>
      </c>
      <c r="F256" s="16" t="s">
        <v>59</v>
      </c>
      <c r="G256" s="16" t="s">
        <v>500</v>
      </c>
    </row>
    <row r="257" customFormat="false" ht="15" hidden="false" customHeight="false" outlineLevel="0" collapsed="false">
      <c r="A257" s="16" t="s">
        <v>217</v>
      </c>
      <c r="B257" s="16" t="s">
        <v>215</v>
      </c>
      <c r="C257" s="16" t="s">
        <v>495</v>
      </c>
      <c r="D257" s="18" t="n">
        <v>55000000</v>
      </c>
      <c r="E257" s="19" t="s">
        <v>233</v>
      </c>
      <c r="F257" s="16" t="s">
        <v>496</v>
      </c>
      <c r="G257" s="16"/>
    </row>
    <row r="258" customFormat="false" ht="15" hidden="false" customHeight="false" outlineLevel="0" collapsed="false">
      <c r="A258" s="16" t="s">
        <v>217</v>
      </c>
      <c r="B258" s="16" t="s">
        <v>224</v>
      </c>
      <c r="C258" s="16" t="s">
        <v>495</v>
      </c>
      <c r="D258" s="18" t="n">
        <v>55000000</v>
      </c>
      <c r="E258" s="19" t="s">
        <v>233</v>
      </c>
      <c r="F258" s="16" t="s">
        <v>496</v>
      </c>
      <c r="G258" s="16"/>
    </row>
    <row r="259" customFormat="false" ht="15" hidden="false" customHeight="false" outlineLevel="0" collapsed="false">
      <c r="A259" s="16" t="s">
        <v>217</v>
      </c>
      <c r="B259" s="16" t="s">
        <v>228</v>
      </c>
      <c r="C259" s="16" t="s">
        <v>495</v>
      </c>
      <c r="D259" s="18" t="n">
        <v>55000000</v>
      </c>
      <c r="E259" s="19" t="s">
        <v>233</v>
      </c>
      <c r="F259" s="16" t="s">
        <v>496</v>
      </c>
      <c r="G259" s="16"/>
    </row>
  </sheetData>
  <autoFilter ref="A1:G25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24"/>
    <col collapsed="false" customWidth="true" hidden="false" outlineLevel="0" max="3" min="3" style="0" width="12"/>
    <col collapsed="false" customWidth="true" hidden="false" outlineLevel="0" max="4" min="4" style="0" width="22"/>
    <col collapsed="false" customWidth="true" hidden="false" outlineLevel="0" max="5" min="5" style="0" width="9"/>
    <col collapsed="false" customWidth="true" hidden="false" outlineLevel="0" max="7" min="6" style="0" width="30"/>
    <col collapsed="false" customWidth="true" hidden="false" outlineLevel="0" max="9" min="8" style="0" width="10"/>
    <col collapsed="false" customWidth="true" hidden="false" outlineLevel="0" max="10" min="10" style="0" width="40"/>
    <col collapsed="false" customWidth="true" hidden="false" outlineLevel="0" max="13" min="11" style="0" width="30"/>
    <col collapsed="false" customWidth="true" hidden="false" outlineLevel="0" max="14" min="14" style="0" width="12"/>
    <col collapsed="false" customWidth="true" hidden="false" outlineLevel="0" max="15" min="15" style="0" width="26"/>
    <col collapsed="false" customWidth="true" hidden="false" outlineLevel="0" max="16" min="16" style="0" width="30"/>
    <col collapsed="false" customWidth="true" hidden="false" outlineLevel="0" max="17" min="17" style="0" width="12"/>
    <col collapsed="false" customWidth="true" hidden="false" outlineLevel="0" max="18" min="18" style="0" width="10"/>
    <col collapsed="false" customWidth="true" hidden="false" outlineLevel="0" max="19" min="19" style="0" width="60"/>
    <col collapsed="false" customWidth="true" hidden="false" outlineLevel="0" max="20" min="20" style="0" width="44"/>
    <col collapsed="false" customWidth="true" hidden="false" outlineLevel="0" max="21" min="21" style="0" width="18"/>
    <col collapsed="false" customWidth="true" hidden="false" outlineLevel="0" max="22" min="22" style="0" width="34"/>
  </cols>
  <sheetData>
    <row r="1" customFormat="false" ht="23.85" hidden="false" customHeight="false" outlineLevel="0" collapsed="false">
      <c r="A1" s="20" t="s">
        <v>657</v>
      </c>
      <c r="B1" s="20" t="s">
        <v>20</v>
      </c>
      <c r="C1" s="20" t="s">
        <v>21</v>
      </c>
      <c r="D1" s="20" t="s">
        <v>22</v>
      </c>
      <c r="E1" s="20" t="s">
        <v>23</v>
      </c>
      <c r="F1" s="20" t="s">
        <v>24</v>
      </c>
      <c r="G1" s="20" t="s">
        <v>25</v>
      </c>
      <c r="H1" s="20" t="s">
        <v>26</v>
      </c>
      <c r="I1" s="20" t="s">
        <v>27</v>
      </c>
      <c r="J1" s="20" t="s">
        <v>28</v>
      </c>
      <c r="K1" s="20" t="s">
        <v>29</v>
      </c>
      <c r="L1" s="20" t="s">
        <v>30</v>
      </c>
      <c r="M1" s="20" t="s">
        <v>658</v>
      </c>
      <c r="N1" s="20" t="s">
        <v>32</v>
      </c>
      <c r="O1" s="20" t="s">
        <v>33</v>
      </c>
      <c r="P1" s="20" t="s">
        <v>34</v>
      </c>
      <c r="Q1" s="20" t="s">
        <v>35</v>
      </c>
      <c r="R1" s="20" t="s">
        <v>36</v>
      </c>
      <c r="S1" s="20" t="s">
        <v>659</v>
      </c>
      <c r="T1" s="20" t="s">
        <v>660</v>
      </c>
      <c r="U1" s="20" t="s">
        <v>661</v>
      </c>
      <c r="V1" s="20" t="s">
        <v>662</v>
      </c>
    </row>
    <row r="2" customFormat="false" ht="15" hidden="false" customHeight="false" outlineLevel="0" collapsed="false">
      <c r="A2" s="16" t="s">
        <v>193</v>
      </c>
      <c r="B2" s="16" t="s">
        <v>182</v>
      </c>
      <c r="C2" s="16" t="s">
        <v>194</v>
      </c>
      <c r="D2" s="16" t="s">
        <v>50</v>
      </c>
      <c r="E2" s="16" t="n">
        <v>18</v>
      </c>
      <c r="F2" s="16" t="s">
        <v>663</v>
      </c>
      <c r="G2" s="16" t="s">
        <v>663</v>
      </c>
      <c r="H2" s="21" t="s">
        <v>11</v>
      </c>
      <c r="I2" s="21" t="s">
        <v>11</v>
      </c>
      <c r="J2" s="21" t="s">
        <v>11</v>
      </c>
      <c r="K2" s="16" t="s">
        <v>663</v>
      </c>
      <c r="L2" s="16" t="s">
        <v>663</v>
      </c>
      <c r="M2" s="16" t="s">
        <v>663</v>
      </c>
      <c r="N2" s="21" t="s">
        <v>11</v>
      </c>
      <c r="O2" s="16" t="s">
        <v>664</v>
      </c>
      <c r="P2" s="16" t="s">
        <v>663</v>
      </c>
      <c r="Q2" s="21" t="s">
        <v>11</v>
      </c>
      <c r="R2" s="21" t="s">
        <v>11</v>
      </c>
      <c r="S2" s="16" t="s">
        <v>665</v>
      </c>
      <c r="T2" s="16" t="s">
        <v>193</v>
      </c>
      <c r="U2" s="22" t="n">
        <v>0</v>
      </c>
      <c r="V2" s="16" t="s">
        <v>666</v>
      </c>
    </row>
    <row r="3" customFormat="false" ht="15" hidden="false" customHeight="false" outlineLevel="0" collapsed="false">
      <c r="A3" s="16" t="s">
        <v>310</v>
      </c>
      <c r="B3" s="16" t="s">
        <v>216</v>
      </c>
      <c r="C3" s="16" t="s">
        <v>311</v>
      </c>
      <c r="D3" s="16" t="s">
        <v>312</v>
      </c>
      <c r="E3" s="16" t="n">
        <v>18</v>
      </c>
      <c r="F3" s="16" t="s">
        <v>663</v>
      </c>
      <c r="G3" s="16" t="s">
        <v>663</v>
      </c>
      <c r="H3" s="21" t="s">
        <v>11</v>
      </c>
      <c r="I3" s="21" t="s">
        <v>11</v>
      </c>
      <c r="J3" s="21" t="s">
        <v>11</v>
      </c>
      <c r="K3" s="16" t="s">
        <v>663</v>
      </c>
      <c r="L3" s="16" t="s">
        <v>663</v>
      </c>
      <c r="M3" s="16" t="s">
        <v>663</v>
      </c>
      <c r="N3" s="21" t="s">
        <v>11</v>
      </c>
      <c r="O3" s="16" t="s">
        <v>664</v>
      </c>
      <c r="P3" s="16" t="s">
        <v>663</v>
      </c>
      <c r="Q3" s="21" t="s">
        <v>11</v>
      </c>
      <c r="R3" s="21" t="s">
        <v>11</v>
      </c>
      <c r="S3" s="16" t="s">
        <v>665</v>
      </c>
      <c r="T3" s="16" t="s">
        <v>310</v>
      </c>
      <c r="U3" s="22" t="n">
        <v>0</v>
      </c>
      <c r="V3" s="16" t="s">
        <v>666</v>
      </c>
    </row>
    <row r="4" customFormat="false" ht="15" hidden="false" customHeight="false" outlineLevel="0" collapsed="false">
      <c r="A4" s="16" t="s">
        <v>253</v>
      </c>
      <c r="B4" s="21" t="s">
        <v>11</v>
      </c>
      <c r="C4" s="21" t="s">
        <v>11</v>
      </c>
      <c r="D4" s="16" t="s">
        <v>254</v>
      </c>
      <c r="E4" s="21" t="s">
        <v>11</v>
      </c>
      <c r="F4" s="16" t="s">
        <v>663</v>
      </c>
      <c r="G4" s="16" t="s">
        <v>663</v>
      </c>
      <c r="H4" s="21" t="s">
        <v>11</v>
      </c>
      <c r="I4" s="21" t="s">
        <v>11</v>
      </c>
      <c r="J4" s="21" t="s">
        <v>11</v>
      </c>
      <c r="K4" s="16" t="s">
        <v>663</v>
      </c>
      <c r="L4" s="16" t="s">
        <v>663</v>
      </c>
      <c r="M4" s="16" t="s">
        <v>663</v>
      </c>
      <c r="N4" s="21" t="s">
        <v>11</v>
      </c>
      <c r="O4" s="16" t="s">
        <v>664</v>
      </c>
      <c r="P4" s="16" t="s">
        <v>663</v>
      </c>
      <c r="Q4" s="21" t="s">
        <v>11</v>
      </c>
      <c r="R4" s="21" t="s">
        <v>11</v>
      </c>
      <c r="S4" s="16" t="s">
        <v>665</v>
      </c>
      <c r="T4" s="16" t="s">
        <v>253</v>
      </c>
      <c r="U4" s="22" t="n">
        <v>0</v>
      </c>
      <c r="V4" s="16" t="s">
        <v>666</v>
      </c>
    </row>
    <row r="5" customFormat="false" ht="15" hidden="false" customHeight="false" outlineLevel="0" collapsed="false">
      <c r="A5" s="16" t="s">
        <v>397</v>
      </c>
      <c r="B5" s="21" t="s">
        <v>11</v>
      </c>
      <c r="C5" s="21" t="s">
        <v>11</v>
      </c>
      <c r="D5" s="16" t="s">
        <v>398</v>
      </c>
      <c r="E5" s="21" t="s">
        <v>11</v>
      </c>
      <c r="F5" s="16" t="s">
        <v>663</v>
      </c>
      <c r="G5" s="16" t="s">
        <v>663</v>
      </c>
      <c r="H5" s="21" t="s">
        <v>11</v>
      </c>
      <c r="I5" s="21" t="s">
        <v>11</v>
      </c>
      <c r="J5" s="21" t="s">
        <v>11</v>
      </c>
      <c r="K5" s="16" t="s">
        <v>663</v>
      </c>
      <c r="L5" s="16" t="s">
        <v>663</v>
      </c>
      <c r="M5" s="16" t="s">
        <v>663</v>
      </c>
      <c r="N5" s="21" t="s">
        <v>11</v>
      </c>
      <c r="O5" s="16" t="s">
        <v>664</v>
      </c>
      <c r="P5" s="16" t="s">
        <v>663</v>
      </c>
      <c r="Q5" s="21" t="s">
        <v>11</v>
      </c>
      <c r="R5" s="21" t="s">
        <v>11</v>
      </c>
      <c r="S5" s="16" t="s">
        <v>665</v>
      </c>
      <c r="T5" s="16" t="s">
        <v>397</v>
      </c>
      <c r="U5" s="22" t="n">
        <v>0</v>
      </c>
      <c r="V5" s="16" t="s">
        <v>666</v>
      </c>
    </row>
    <row r="6" customFormat="false" ht="15" hidden="false" customHeight="false" outlineLevel="0" collapsed="false">
      <c r="A6" s="16" t="s">
        <v>108</v>
      </c>
      <c r="B6" s="16" t="s">
        <v>109</v>
      </c>
      <c r="C6" s="16" t="s">
        <v>110</v>
      </c>
      <c r="D6" s="16" t="s">
        <v>50</v>
      </c>
      <c r="E6" s="16" t="n">
        <v>18</v>
      </c>
      <c r="F6" s="16" t="s">
        <v>663</v>
      </c>
      <c r="G6" s="16" t="s">
        <v>663</v>
      </c>
      <c r="H6" s="21" t="s">
        <v>11</v>
      </c>
      <c r="I6" s="21" t="s">
        <v>11</v>
      </c>
      <c r="J6" s="21" t="s">
        <v>11</v>
      </c>
      <c r="K6" s="16" t="s">
        <v>663</v>
      </c>
      <c r="L6" s="16" t="s">
        <v>663</v>
      </c>
      <c r="M6" s="16" t="s">
        <v>663</v>
      </c>
      <c r="N6" s="21" t="s">
        <v>11</v>
      </c>
      <c r="O6" s="16" t="s">
        <v>664</v>
      </c>
      <c r="P6" s="16" t="s">
        <v>663</v>
      </c>
      <c r="Q6" s="21" t="s">
        <v>11</v>
      </c>
      <c r="R6" s="21" t="s">
        <v>11</v>
      </c>
      <c r="S6" s="16" t="s">
        <v>665</v>
      </c>
      <c r="T6" s="16" t="s">
        <v>108</v>
      </c>
      <c r="U6" s="22" t="n">
        <v>0</v>
      </c>
      <c r="V6" s="16" t="s">
        <v>666</v>
      </c>
    </row>
    <row r="7" customFormat="false" ht="15" hidden="false" customHeight="false" outlineLevel="0" collapsed="false">
      <c r="A7" s="16" t="s">
        <v>321</v>
      </c>
      <c r="B7" s="21" t="s">
        <v>11</v>
      </c>
      <c r="C7" s="21" t="s">
        <v>11</v>
      </c>
      <c r="D7" s="16" t="s">
        <v>312</v>
      </c>
      <c r="E7" s="21" t="s">
        <v>11</v>
      </c>
      <c r="F7" s="16" t="s">
        <v>663</v>
      </c>
      <c r="G7" s="16" t="s">
        <v>663</v>
      </c>
      <c r="H7" s="21" t="s">
        <v>11</v>
      </c>
      <c r="I7" s="21" t="s">
        <v>11</v>
      </c>
      <c r="J7" s="21" t="s">
        <v>11</v>
      </c>
      <c r="K7" s="16" t="s">
        <v>663</v>
      </c>
      <c r="L7" s="16" t="s">
        <v>663</v>
      </c>
      <c r="M7" s="16" t="s">
        <v>663</v>
      </c>
      <c r="N7" s="21" t="s">
        <v>11</v>
      </c>
      <c r="O7" s="16" t="s">
        <v>664</v>
      </c>
      <c r="P7" s="16" t="s">
        <v>663</v>
      </c>
      <c r="Q7" s="21" t="s">
        <v>11</v>
      </c>
      <c r="R7" s="21" t="s">
        <v>11</v>
      </c>
      <c r="S7" s="16" t="s">
        <v>665</v>
      </c>
      <c r="T7" s="16" t="s">
        <v>321</v>
      </c>
      <c r="U7" s="22" t="n">
        <v>0</v>
      </c>
      <c r="V7" s="16" t="s">
        <v>666</v>
      </c>
    </row>
    <row r="8" customFormat="false" ht="15" hidden="false" customHeight="false" outlineLevel="0" collapsed="false">
      <c r="A8" s="16" t="s">
        <v>116</v>
      </c>
      <c r="B8" s="16" t="s">
        <v>117</v>
      </c>
      <c r="C8" s="16" t="s">
        <v>110</v>
      </c>
      <c r="D8" s="16" t="s">
        <v>50</v>
      </c>
      <c r="E8" s="16" t="n">
        <v>18</v>
      </c>
      <c r="F8" s="16" t="s">
        <v>663</v>
      </c>
      <c r="G8" s="16" t="s">
        <v>663</v>
      </c>
      <c r="H8" s="21" t="s">
        <v>11</v>
      </c>
      <c r="I8" s="21" t="s">
        <v>11</v>
      </c>
      <c r="J8" s="21" t="s">
        <v>11</v>
      </c>
      <c r="K8" s="16" t="s">
        <v>663</v>
      </c>
      <c r="L8" s="16" t="s">
        <v>663</v>
      </c>
      <c r="M8" s="16" t="s">
        <v>663</v>
      </c>
      <c r="N8" s="21" t="s">
        <v>11</v>
      </c>
      <c r="O8" s="16" t="s">
        <v>664</v>
      </c>
      <c r="P8" s="16" t="s">
        <v>663</v>
      </c>
      <c r="Q8" s="21" t="s">
        <v>11</v>
      </c>
      <c r="R8" s="21" t="s">
        <v>11</v>
      </c>
      <c r="S8" s="16" t="s">
        <v>665</v>
      </c>
      <c r="T8" s="16" t="s">
        <v>116</v>
      </c>
      <c r="U8" s="22" t="n">
        <v>0</v>
      </c>
      <c r="V8" s="16" t="s">
        <v>666</v>
      </c>
    </row>
    <row r="9" customFormat="false" ht="15" hidden="false" customHeight="false" outlineLevel="0" collapsed="false">
      <c r="A9" s="16" t="s">
        <v>96</v>
      </c>
      <c r="B9" s="16" t="s">
        <v>97</v>
      </c>
      <c r="C9" s="16" t="s">
        <v>98</v>
      </c>
      <c r="D9" s="16" t="s">
        <v>50</v>
      </c>
      <c r="E9" s="16" t="n">
        <v>18</v>
      </c>
      <c r="F9" s="16" t="s">
        <v>663</v>
      </c>
      <c r="G9" s="16" t="s">
        <v>663</v>
      </c>
      <c r="H9" s="21" t="s">
        <v>11</v>
      </c>
      <c r="I9" s="21" t="s">
        <v>11</v>
      </c>
      <c r="J9" s="21" t="s">
        <v>11</v>
      </c>
      <c r="K9" s="16" t="s">
        <v>663</v>
      </c>
      <c r="L9" s="16" t="s">
        <v>663</v>
      </c>
      <c r="M9" s="16" t="s">
        <v>663</v>
      </c>
      <c r="N9" s="21" t="s">
        <v>11</v>
      </c>
      <c r="O9" s="16" t="s">
        <v>664</v>
      </c>
      <c r="P9" s="16" t="s">
        <v>663</v>
      </c>
      <c r="Q9" s="21" t="s">
        <v>11</v>
      </c>
      <c r="R9" s="21" t="s">
        <v>11</v>
      </c>
      <c r="S9" s="16" t="s">
        <v>665</v>
      </c>
      <c r="T9" s="16" t="s">
        <v>96</v>
      </c>
      <c r="U9" s="22" t="n">
        <v>0</v>
      </c>
      <c r="V9" s="16" t="s">
        <v>666</v>
      </c>
    </row>
    <row r="10" customFormat="false" ht="15" hidden="false" customHeight="false" outlineLevel="0" collapsed="false">
      <c r="A10" s="16" t="s">
        <v>401</v>
      </c>
      <c r="B10" s="21" t="s">
        <v>11</v>
      </c>
      <c r="C10" s="21" t="s">
        <v>11</v>
      </c>
      <c r="D10" s="16" t="s">
        <v>398</v>
      </c>
      <c r="E10" s="21" t="s">
        <v>11</v>
      </c>
      <c r="F10" s="16" t="s">
        <v>663</v>
      </c>
      <c r="G10" s="16" t="s">
        <v>663</v>
      </c>
      <c r="H10" s="21" t="s">
        <v>11</v>
      </c>
      <c r="I10" s="21" t="s">
        <v>11</v>
      </c>
      <c r="J10" s="21" t="s">
        <v>11</v>
      </c>
      <c r="K10" s="16" t="s">
        <v>663</v>
      </c>
      <c r="L10" s="16" t="s">
        <v>663</v>
      </c>
      <c r="M10" s="16" t="s">
        <v>663</v>
      </c>
      <c r="N10" s="21" t="s">
        <v>11</v>
      </c>
      <c r="O10" s="16" t="s">
        <v>664</v>
      </c>
      <c r="P10" s="16" t="s">
        <v>663</v>
      </c>
      <c r="Q10" s="21" t="s">
        <v>11</v>
      </c>
      <c r="R10" s="21" t="s">
        <v>11</v>
      </c>
      <c r="S10" s="16" t="s">
        <v>665</v>
      </c>
      <c r="T10" s="16" t="s">
        <v>401</v>
      </c>
      <c r="U10" s="22" t="n">
        <v>0</v>
      </c>
      <c r="V10" s="16" t="s">
        <v>666</v>
      </c>
    </row>
    <row r="11" customFormat="false" ht="15" hidden="false" customHeight="false" outlineLevel="0" collapsed="false">
      <c r="A11" s="16" t="s">
        <v>257</v>
      </c>
      <c r="B11" s="21" t="s">
        <v>11</v>
      </c>
      <c r="C11" s="21" t="s">
        <v>11</v>
      </c>
      <c r="D11" s="16" t="s">
        <v>254</v>
      </c>
      <c r="E11" s="21" t="s">
        <v>11</v>
      </c>
      <c r="F11" s="16" t="s">
        <v>663</v>
      </c>
      <c r="G11" s="16" t="s">
        <v>663</v>
      </c>
      <c r="H11" s="21" t="s">
        <v>11</v>
      </c>
      <c r="I11" s="21" t="s">
        <v>11</v>
      </c>
      <c r="J11" s="21" t="s">
        <v>11</v>
      </c>
      <c r="K11" s="16" t="s">
        <v>663</v>
      </c>
      <c r="L11" s="16" t="s">
        <v>663</v>
      </c>
      <c r="M11" s="16" t="s">
        <v>663</v>
      </c>
      <c r="N11" s="21" t="s">
        <v>11</v>
      </c>
      <c r="O11" s="16" t="s">
        <v>664</v>
      </c>
      <c r="P11" s="16" t="s">
        <v>663</v>
      </c>
      <c r="Q11" s="21" t="s">
        <v>11</v>
      </c>
      <c r="R11" s="21" t="s">
        <v>11</v>
      </c>
      <c r="S11" s="16" t="s">
        <v>665</v>
      </c>
      <c r="T11" s="16" t="s">
        <v>257</v>
      </c>
      <c r="U11" s="22" t="n">
        <v>0</v>
      </c>
      <c r="V11" s="16" t="s">
        <v>666</v>
      </c>
    </row>
    <row r="12" customFormat="false" ht="15" hidden="false" customHeight="false" outlineLevel="0" collapsed="false">
      <c r="A12" s="16" t="s">
        <v>259</v>
      </c>
      <c r="B12" s="21" t="s">
        <v>11</v>
      </c>
      <c r="C12" s="21" t="s">
        <v>11</v>
      </c>
      <c r="D12" s="16" t="s">
        <v>254</v>
      </c>
      <c r="E12" s="21" t="s">
        <v>11</v>
      </c>
      <c r="F12" s="16" t="s">
        <v>663</v>
      </c>
      <c r="G12" s="16" t="s">
        <v>663</v>
      </c>
      <c r="H12" s="21" t="s">
        <v>11</v>
      </c>
      <c r="I12" s="21" t="s">
        <v>11</v>
      </c>
      <c r="J12" s="21" t="s">
        <v>11</v>
      </c>
      <c r="K12" s="16" t="s">
        <v>663</v>
      </c>
      <c r="L12" s="16" t="s">
        <v>663</v>
      </c>
      <c r="M12" s="16" t="s">
        <v>663</v>
      </c>
      <c r="N12" s="21" t="s">
        <v>11</v>
      </c>
      <c r="O12" s="16" t="s">
        <v>664</v>
      </c>
      <c r="P12" s="16" t="s">
        <v>663</v>
      </c>
      <c r="Q12" s="21" t="s">
        <v>11</v>
      </c>
      <c r="R12" s="21" t="s">
        <v>11</v>
      </c>
      <c r="S12" s="16" t="s">
        <v>665</v>
      </c>
      <c r="T12" s="16" t="s">
        <v>259</v>
      </c>
      <c r="U12" s="22" t="n">
        <v>0</v>
      </c>
      <c r="V12" s="16" t="s">
        <v>666</v>
      </c>
    </row>
    <row r="13" customFormat="false" ht="15" hidden="false" customHeight="false" outlineLevel="0" collapsed="false">
      <c r="A13" s="16" t="s">
        <v>144</v>
      </c>
      <c r="B13" s="16" t="s">
        <v>145</v>
      </c>
      <c r="C13" s="16" t="s">
        <v>146</v>
      </c>
      <c r="D13" s="16" t="s">
        <v>50</v>
      </c>
      <c r="E13" s="16" t="n">
        <v>18</v>
      </c>
      <c r="F13" s="16" t="s">
        <v>663</v>
      </c>
      <c r="G13" s="16" t="s">
        <v>663</v>
      </c>
      <c r="H13" s="21" t="s">
        <v>11</v>
      </c>
      <c r="I13" s="21" t="s">
        <v>11</v>
      </c>
      <c r="J13" s="21" t="s">
        <v>11</v>
      </c>
      <c r="K13" s="16" t="s">
        <v>663</v>
      </c>
      <c r="L13" s="16" t="s">
        <v>663</v>
      </c>
      <c r="M13" s="16" t="s">
        <v>663</v>
      </c>
      <c r="N13" s="21" t="s">
        <v>11</v>
      </c>
      <c r="O13" s="16" t="s">
        <v>664</v>
      </c>
      <c r="P13" s="16" t="s">
        <v>663</v>
      </c>
      <c r="Q13" s="21" t="s">
        <v>11</v>
      </c>
      <c r="R13" s="21" t="s">
        <v>11</v>
      </c>
      <c r="S13" s="16" t="s">
        <v>665</v>
      </c>
      <c r="T13" s="16" t="s">
        <v>144</v>
      </c>
      <c r="U13" s="22" t="n">
        <v>0</v>
      </c>
      <c r="V13" s="16" t="s">
        <v>666</v>
      </c>
    </row>
    <row r="14" customFormat="false" ht="15" hidden="false" customHeight="false" outlineLevel="0" collapsed="false">
      <c r="A14" s="16" t="s">
        <v>159</v>
      </c>
      <c r="B14" s="16" t="s">
        <v>160</v>
      </c>
      <c r="C14" s="16" t="s">
        <v>161</v>
      </c>
      <c r="D14" s="16" t="s">
        <v>50</v>
      </c>
      <c r="E14" s="16" t="n">
        <v>18</v>
      </c>
      <c r="F14" s="16" t="s">
        <v>663</v>
      </c>
      <c r="G14" s="16" t="s">
        <v>663</v>
      </c>
      <c r="H14" s="21" t="s">
        <v>11</v>
      </c>
      <c r="I14" s="21" t="s">
        <v>11</v>
      </c>
      <c r="J14" s="21" t="s">
        <v>11</v>
      </c>
      <c r="K14" s="16" t="s">
        <v>663</v>
      </c>
      <c r="L14" s="16" t="s">
        <v>663</v>
      </c>
      <c r="M14" s="16" t="s">
        <v>663</v>
      </c>
      <c r="N14" s="21" t="s">
        <v>11</v>
      </c>
      <c r="O14" s="16" t="s">
        <v>664</v>
      </c>
      <c r="P14" s="16" t="s">
        <v>663</v>
      </c>
      <c r="Q14" s="21" t="s">
        <v>11</v>
      </c>
      <c r="R14" s="21" t="s">
        <v>11</v>
      </c>
      <c r="S14" s="16" t="s">
        <v>665</v>
      </c>
      <c r="T14" s="16" t="s">
        <v>159</v>
      </c>
      <c r="U14" s="22" t="n">
        <v>0</v>
      </c>
      <c r="V14" s="16" t="s">
        <v>666</v>
      </c>
    </row>
    <row r="15" customFormat="false" ht="15" hidden="false" customHeight="false" outlineLevel="0" collapsed="false">
      <c r="A15" s="16" t="s">
        <v>323</v>
      </c>
      <c r="B15" s="21" t="s">
        <v>11</v>
      </c>
      <c r="C15" s="21" t="s">
        <v>11</v>
      </c>
      <c r="D15" s="16" t="s">
        <v>312</v>
      </c>
      <c r="E15" s="21" t="s">
        <v>11</v>
      </c>
      <c r="F15" s="16" t="s">
        <v>663</v>
      </c>
      <c r="G15" s="16" t="s">
        <v>663</v>
      </c>
      <c r="H15" s="21" t="s">
        <v>11</v>
      </c>
      <c r="I15" s="21" t="s">
        <v>11</v>
      </c>
      <c r="J15" s="21" t="s">
        <v>11</v>
      </c>
      <c r="K15" s="16" t="s">
        <v>663</v>
      </c>
      <c r="L15" s="16" t="s">
        <v>663</v>
      </c>
      <c r="M15" s="16" t="s">
        <v>663</v>
      </c>
      <c r="N15" s="21" t="s">
        <v>11</v>
      </c>
      <c r="O15" s="16" t="s">
        <v>664</v>
      </c>
      <c r="P15" s="16" t="s">
        <v>663</v>
      </c>
      <c r="Q15" s="21" t="s">
        <v>11</v>
      </c>
      <c r="R15" s="21" t="s">
        <v>11</v>
      </c>
      <c r="S15" s="16" t="s">
        <v>665</v>
      </c>
      <c r="T15" s="16" t="s">
        <v>323</v>
      </c>
      <c r="U15" s="22" t="n">
        <v>0</v>
      </c>
      <c r="V15" s="16" t="s">
        <v>666</v>
      </c>
    </row>
    <row r="16" customFormat="false" ht="15" hidden="false" customHeight="false" outlineLevel="0" collapsed="false">
      <c r="A16" s="16" t="s">
        <v>260</v>
      </c>
      <c r="B16" s="21" t="s">
        <v>11</v>
      </c>
      <c r="C16" s="21" t="s">
        <v>11</v>
      </c>
      <c r="D16" s="16" t="s">
        <v>254</v>
      </c>
      <c r="E16" s="21" t="s">
        <v>11</v>
      </c>
      <c r="F16" s="16" t="s">
        <v>663</v>
      </c>
      <c r="G16" s="16" t="s">
        <v>663</v>
      </c>
      <c r="H16" s="21" t="s">
        <v>11</v>
      </c>
      <c r="I16" s="21" t="s">
        <v>11</v>
      </c>
      <c r="J16" s="21" t="s">
        <v>11</v>
      </c>
      <c r="K16" s="16" t="s">
        <v>663</v>
      </c>
      <c r="L16" s="16" t="s">
        <v>663</v>
      </c>
      <c r="M16" s="16" t="s">
        <v>663</v>
      </c>
      <c r="N16" s="21" t="s">
        <v>11</v>
      </c>
      <c r="O16" s="16" t="s">
        <v>664</v>
      </c>
      <c r="P16" s="16" t="s">
        <v>663</v>
      </c>
      <c r="Q16" s="21" t="s">
        <v>11</v>
      </c>
      <c r="R16" s="21" t="s">
        <v>11</v>
      </c>
      <c r="S16" s="16" t="s">
        <v>665</v>
      </c>
      <c r="T16" s="16" t="s">
        <v>260</v>
      </c>
      <c r="U16" s="22" t="n">
        <v>0</v>
      </c>
      <c r="V16" s="16" t="s">
        <v>666</v>
      </c>
    </row>
    <row r="17" customFormat="false" ht="15" hidden="false" customHeight="false" outlineLevel="0" collapsed="false">
      <c r="A17" s="16" t="s">
        <v>326</v>
      </c>
      <c r="B17" s="21" t="s">
        <v>11</v>
      </c>
      <c r="C17" s="21" t="s">
        <v>11</v>
      </c>
      <c r="D17" s="16" t="s">
        <v>312</v>
      </c>
      <c r="E17" s="21" t="s">
        <v>11</v>
      </c>
      <c r="F17" s="16" t="s">
        <v>663</v>
      </c>
      <c r="G17" s="16" t="s">
        <v>663</v>
      </c>
      <c r="H17" s="21" t="s">
        <v>11</v>
      </c>
      <c r="I17" s="21" t="s">
        <v>11</v>
      </c>
      <c r="J17" s="21" t="s">
        <v>11</v>
      </c>
      <c r="K17" s="16" t="s">
        <v>663</v>
      </c>
      <c r="L17" s="16" t="s">
        <v>663</v>
      </c>
      <c r="M17" s="16" t="s">
        <v>663</v>
      </c>
      <c r="N17" s="21" t="s">
        <v>11</v>
      </c>
      <c r="O17" s="16" t="s">
        <v>664</v>
      </c>
      <c r="P17" s="16" t="s">
        <v>663</v>
      </c>
      <c r="Q17" s="21" t="s">
        <v>11</v>
      </c>
      <c r="R17" s="21" t="s">
        <v>11</v>
      </c>
      <c r="S17" s="16" t="s">
        <v>665</v>
      </c>
      <c r="T17" s="16" t="s">
        <v>326</v>
      </c>
      <c r="U17" s="22" t="n">
        <v>0</v>
      </c>
      <c r="V17" s="16" t="s">
        <v>666</v>
      </c>
    </row>
    <row r="18" customFormat="false" ht="15" hidden="false" customHeight="false" outlineLevel="0" collapsed="false">
      <c r="A18" s="16" t="s">
        <v>262</v>
      </c>
      <c r="B18" s="21" t="s">
        <v>11</v>
      </c>
      <c r="C18" s="21" t="s">
        <v>11</v>
      </c>
      <c r="D18" s="16" t="s">
        <v>254</v>
      </c>
      <c r="E18" s="21" t="s">
        <v>11</v>
      </c>
      <c r="F18" s="16" t="s">
        <v>663</v>
      </c>
      <c r="G18" s="16" t="s">
        <v>663</v>
      </c>
      <c r="H18" s="21" t="s">
        <v>11</v>
      </c>
      <c r="I18" s="21" t="s">
        <v>11</v>
      </c>
      <c r="J18" s="21" t="s">
        <v>11</v>
      </c>
      <c r="K18" s="16" t="s">
        <v>663</v>
      </c>
      <c r="L18" s="16" t="s">
        <v>663</v>
      </c>
      <c r="M18" s="16" t="s">
        <v>663</v>
      </c>
      <c r="N18" s="21" t="s">
        <v>11</v>
      </c>
      <c r="O18" s="16" t="s">
        <v>664</v>
      </c>
      <c r="P18" s="16" t="s">
        <v>663</v>
      </c>
      <c r="Q18" s="21" t="s">
        <v>11</v>
      </c>
      <c r="R18" s="21" t="s">
        <v>11</v>
      </c>
      <c r="S18" s="16" t="s">
        <v>665</v>
      </c>
      <c r="T18" s="16" t="s">
        <v>262</v>
      </c>
      <c r="U18" s="22" t="n">
        <v>0</v>
      </c>
      <c r="V18" s="16" t="s">
        <v>666</v>
      </c>
    </row>
    <row r="19" customFormat="false" ht="15" hidden="false" customHeight="false" outlineLevel="0" collapsed="false">
      <c r="A19" s="16" t="s">
        <v>265</v>
      </c>
      <c r="B19" s="21" t="s">
        <v>11</v>
      </c>
      <c r="C19" s="21" t="s">
        <v>11</v>
      </c>
      <c r="D19" s="16" t="s">
        <v>254</v>
      </c>
      <c r="E19" s="21" t="s">
        <v>11</v>
      </c>
      <c r="F19" s="16" t="s">
        <v>663</v>
      </c>
      <c r="G19" s="16" t="s">
        <v>663</v>
      </c>
      <c r="H19" s="21" t="s">
        <v>11</v>
      </c>
      <c r="I19" s="21" t="s">
        <v>11</v>
      </c>
      <c r="J19" s="21" t="s">
        <v>11</v>
      </c>
      <c r="K19" s="16" t="s">
        <v>663</v>
      </c>
      <c r="L19" s="16" t="s">
        <v>663</v>
      </c>
      <c r="M19" s="16" t="s">
        <v>663</v>
      </c>
      <c r="N19" s="21" t="s">
        <v>11</v>
      </c>
      <c r="O19" s="16" t="s">
        <v>664</v>
      </c>
      <c r="P19" s="16" t="s">
        <v>663</v>
      </c>
      <c r="Q19" s="21" t="s">
        <v>11</v>
      </c>
      <c r="R19" s="21" t="s">
        <v>11</v>
      </c>
      <c r="S19" s="16" t="s">
        <v>665</v>
      </c>
      <c r="T19" s="16" t="s">
        <v>265</v>
      </c>
      <c r="U19" s="22" t="n">
        <v>0</v>
      </c>
      <c r="V19" s="16" t="s">
        <v>666</v>
      </c>
    </row>
    <row r="20" customFormat="false" ht="15" hidden="false" customHeight="false" outlineLevel="0" collapsed="false">
      <c r="A20" s="16" t="s">
        <v>404</v>
      </c>
      <c r="B20" s="21" t="s">
        <v>11</v>
      </c>
      <c r="C20" s="21" t="s">
        <v>11</v>
      </c>
      <c r="D20" s="16" t="s">
        <v>398</v>
      </c>
      <c r="E20" s="21" t="s">
        <v>11</v>
      </c>
      <c r="F20" s="16" t="s">
        <v>663</v>
      </c>
      <c r="G20" s="16" t="s">
        <v>663</v>
      </c>
      <c r="H20" s="21" t="s">
        <v>11</v>
      </c>
      <c r="I20" s="21" t="s">
        <v>11</v>
      </c>
      <c r="J20" s="21" t="s">
        <v>11</v>
      </c>
      <c r="K20" s="16" t="s">
        <v>663</v>
      </c>
      <c r="L20" s="16" t="s">
        <v>663</v>
      </c>
      <c r="M20" s="16" t="s">
        <v>663</v>
      </c>
      <c r="N20" s="21" t="s">
        <v>11</v>
      </c>
      <c r="O20" s="16" t="s">
        <v>664</v>
      </c>
      <c r="P20" s="16" t="s">
        <v>663</v>
      </c>
      <c r="Q20" s="21" t="s">
        <v>11</v>
      </c>
      <c r="R20" s="21" t="s">
        <v>11</v>
      </c>
      <c r="S20" s="16" t="s">
        <v>665</v>
      </c>
      <c r="T20" s="16" t="s">
        <v>404</v>
      </c>
      <c r="U20" s="22" t="n">
        <v>0</v>
      </c>
      <c r="V20" s="16" t="s">
        <v>666</v>
      </c>
    </row>
    <row r="21" customFormat="false" ht="15" hidden="false" customHeight="false" outlineLevel="0" collapsed="false">
      <c r="A21" s="16" t="s">
        <v>266</v>
      </c>
      <c r="B21" s="21" t="s">
        <v>11</v>
      </c>
      <c r="C21" s="21" t="s">
        <v>11</v>
      </c>
      <c r="D21" s="16" t="s">
        <v>254</v>
      </c>
      <c r="E21" s="21" t="s">
        <v>11</v>
      </c>
      <c r="F21" s="16" t="s">
        <v>663</v>
      </c>
      <c r="G21" s="16" t="s">
        <v>663</v>
      </c>
      <c r="H21" s="21" t="s">
        <v>11</v>
      </c>
      <c r="I21" s="21" t="s">
        <v>11</v>
      </c>
      <c r="J21" s="21" t="s">
        <v>11</v>
      </c>
      <c r="K21" s="16" t="s">
        <v>663</v>
      </c>
      <c r="L21" s="16" t="s">
        <v>663</v>
      </c>
      <c r="M21" s="16" t="s">
        <v>663</v>
      </c>
      <c r="N21" s="21" t="s">
        <v>11</v>
      </c>
      <c r="O21" s="16" t="s">
        <v>664</v>
      </c>
      <c r="P21" s="16" t="s">
        <v>663</v>
      </c>
      <c r="Q21" s="21" t="s">
        <v>11</v>
      </c>
      <c r="R21" s="21" t="s">
        <v>11</v>
      </c>
      <c r="S21" s="16" t="s">
        <v>665</v>
      </c>
      <c r="T21" s="16" t="s">
        <v>266</v>
      </c>
      <c r="U21" s="22" t="n">
        <v>0</v>
      </c>
      <c r="V21" s="16" t="s">
        <v>666</v>
      </c>
    </row>
    <row r="22" customFormat="false" ht="15" hidden="false" customHeight="false" outlineLevel="0" collapsed="false">
      <c r="A22" s="16" t="s">
        <v>69</v>
      </c>
      <c r="B22" s="16" t="s">
        <v>70</v>
      </c>
      <c r="C22" s="16" t="s">
        <v>71</v>
      </c>
      <c r="D22" s="16" t="s">
        <v>50</v>
      </c>
      <c r="E22" s="16" t="n">
        <v>18</v>
      </c>
      <c r="F22" s="16" t="s">
        <v>663</v>
      </c>
      <c r="G22" s="16" t="s">
        <v>663</v>
      </c>
      <c r="H22" s="21" t="s">
        <v>11</v>
      </c>
      <c r="I22" s="21" t="s">
        <v>11</v>
      </c>
      <c r="J22" s="21" t="s">
        <v>11</v>
      </c>
      <c r="K22" s="16" t="s">
        <v>663</v>
      </c>
      <c r="L22" s="16" t="s">
        <v>663</v>
      </c>
      <c r="M22" s="16" t="s">
        <v>663</v>
      </c>
      <c r="N22" s="21" t="s">
        <v>11</v>
      </c>
      <c r="O22" s="16" t="s">
        <v>664</v>
      </c>
      <c r="P22" s="16" t="s">
        <v>663</v>
      </c>
      <c r="Q22" s="21" t="s">
        <v>11</v>
      </c>
      <c r="R22" s="21" t="s">
        <v>11</v>
      </c>
      <c r="S22" s="16" t="s">
        <v>665</v>
      </c>
      <c r="T22" s="16" t="s">
        <v>69</v>
      </c>
      <c r="U22" s="22" t="n">
        <v>0</v>
      </c>
      <c r="V22" s="16" t="s">
        <v>666</v>
      </c>
    </row>
    <row r="23" customFormat="false" ht="15" hidden="false" customHeight="false" outlineLevel="0" collapsed="false">
      <c r="A23" s="16" t="s">
        <v>407</v>
      </c>
      <c r="B23" s="21" t="s">
        <v>11</v>
      </c>
      <c r="C23" s="21" t="s">
        <v>11</v>
      </c>
      <c r="D23" s="16" t="s">
        <v>398</v>
      </c>
      <c r="E23" s="21" t="s">
        <v>11</v>
      </c>
      <c r="F23" s="16" t="s">
        <v>663</v>
      </c>
      <c r="G23" s="16" t="s">
        <v>663</v>
      </c>
      <c r="H23" s="21" t="s">
        <v>11</v>
      </c>
      <c r="I23" s="21" t="s">
        <v>11</v>
      </c>
      <c r="J23" s="21" t="s">
        <v>11</v>
      </c>
      <c r="K23" s="16" t="s">
        <v>663</v>
      </c>
      <c r="L23" s="16" t="s">
        <v>663</v>
      </c>
      <c r="M23" s="16" t="s">
        <v>663</v>
      </c>
      <c r="N23" s="21" t="s">
        <v>11</v>
      </c>
      <c r="O23" s="16" t="s">
        <v>664</v>
      </c>
      <c r="P23" s="16" t="s">
        <v>663</v>
      </c>
      <c r="Q23" s="21" t="s">
        <v>11</v>
      </c>
      <c r="R23" s="21" t="s">
        <v>11</v>
      </c>
      <c r="S23" s="16" t="s">
        <v>665</v>
      </c>
      <c r="T23" s="16" t="s">
        <v>407</v>
      </c>
      <c r="U23" s="22" t="n">
        <v>0</v>
      </c>
      <c r="V23" s="16" t="s">
        <v>666</v>
      </c>
    </row>
    <row r="24" customFormat="false" ht="15" hidden="false" customHeight="false" outlineLevel="0" collapsed="false">
      <c r="A24" s="16" t="s">
        <v>356</v>
      </c>
      <c r="B24" s="16" t="s">
        <v>357</v>
      </c>
      <c r="C24" s="16" t="s">
        <v>358</v>
      </c>
      <c r="D24" s="16" t="s">
        <v>359</v>
      </c>
      <c r="E24" s="16" t="n">
        <v>18</v>
      </c>
      <c r="F24" s="16" t="s">
        <v>663</v>
      </c>
      <c r="G24" s="16" t="s">
        <v>663</v>
      </c>
      <c r="H24" s="21" t="s">
        <v>11</v>
      </c>
      <c r="I24" s="21" t="s">
        <v>11</v>
      </c>
      <c r="J24" s="21" t="s">
        <v>11</v>
      </c>
      <c r="K24" s="16" t="s">
        <v>663</v>
      </c>
      <c r="L24" s="16" t="s">
        <v>663</v>
      </c>
      <c r="M24" s="16" t="s">
        <v>663</v>
      </c>
      <c r="N24" s="21" t="s">
        <v>11</v>
      </c>
      <c r="O24" s="16" t="s">
        <v>664</v>
      </c>
      <c r="P24" s="16" t="s">
        <v>663</v>
      </c>
      <c r="Q24" s="21" t="s">
        <v>11</v>
      </c>
      <c r="R24" s="21" t="s">
        <v>11</v>
      </c>
      <c r="S24" s="16" t="s">
        <v>665</v>
      </c>
      <c r="T24" s="16" t="s">
        <v>356</v>
      </c>
      <c r="U24" s="22" t="n">
        <v>0</v>
      </c>
      <c r="V24" s="16" t="s">
        <v>667</v>
      </c>
    </row>
    <row r="25" customFormat="false" ht="15" hidden="false" customHeight="false" outlineLevel="0" collapsed="false">
      <c r="A25" s="16" t="s">
        <v>103</v>
      </c>
      <c r="B25" s="16" t="s">
        <v>97</v>
      </c>
      <c r="C25" s="16" t="s">
        <v>98</v>
      </c>
      <c r="D25" s="16" t="s">
        <v>50</v>
      </c>
      <c r="E25" s="16" t="n">
        <v>18</v>
      </c>
      <c r="F25" s="16" t="s">
        <v>663</v>
      </c>
      <c r="G25" s="16" t="s">
        <v>663</v>
      </c>
      <c r="H25" s="21" t="s">
        <v>11</v>
      </c>
      <c r="I25" s="21" t="s">
        <v>11</v>
      </c>
      <c r="J25" s="21" t="s">
        <v>11</v>
      </c>
      <c r="K25" s="16" t="s">
        <v>663</v>
      </c>
      <c r="L25" s="16" t="s">
        <v>663</v>
      </c>
      <c r="M25" s="16" t="s">
        <v>663</v>
      </c>
      <c r="N25" s="21" t="s">
        <v>11</v>
      </c>
      <c r="O25" s="16" t="s">
        <v>664</v>
      </c>
      <c r="P25" s="16" t="s">
        <v>663</v>
      </c>
      <c r="Q25" s="21" t="s">
        <v>11</v>
      </c>
      <c r="R25" s="21" t="s">
        <v>11</v>
      </c>
      <c r="S25" s="16" t="s">
        <v>665</v>
      </c>
      <c r="T25" s="16" t="s">
        <v>103</v>
      </c>
      <c r="U25" s="22" t="n">
        <v>0</v>
      </c>
      <c r="V25" s="16" t="s">
        <v>666</v>
      </c>
    </row>
    <row r="26" customFormat="false" ht="15" hidden="false" customHeight="false" outlineLevel="0" collapsed="false">
      <c r="A26" s="16" t="s">
        <v>328</v>
      </c>
      <c r="B26" s="21" t="s">
        <v>11</v>
      </c>
      <c r="C26" s="21" t="s">
        <v>11</v>
      </c>
      <c r="D26" s="16" t="s">
        <v>312</v>
      </c>
      <c r="E26" s="21" t="s">
        <v>11</v>
      </c>
      <c r="F26" s="16" t="s">
        <v>663</v>
      </c>
      <c r="G26" s="16" t="s">
        <v>663</v>
      </c>
      <c r="H26" s="21" t="s">
        <v>11</v>
      </c>
      <c r="I26" s="21" t="s">
        <v>11</v>
      </c>
      <c r="J26" s="21" t="s">
        <v>11</v>
      </c>
      <c r="K26" s="16" t="s">
        <v>663</v>
      </c>
      <c r="L26" s="16" t="s">
        <v>663</v>
      </c>
      <c r="M26" s="16" t="s">
        <v>663</v>
      </c>
      <c r="N26" s="21" t="s">
        <v>11</v>
      </c>
      <c r="O26" s="16" t="s">
        <v>664</v>
      </c>
      <c r="P26" s="16" t="s">
        <v>663</v>
      </c>
      <c r="Q26" s="21" t="s">
        <v>11</v>
      </c>
      <c r="R26" s="21" t="s">
        <v>11</v>
      </c>
      <c r="S26" s="16" t="s">
        <v>665</v>
      </c>
      <c r="T26" s="16" t="s">
        <v>328</v>
      </c>
      <c r="U26" s="22" t="n">
        <v>0</v>
      </c>
      <c r="V26" s="16" t="s">
        <v>666</v>
      </c>
    </row>
    <row r="27" customFormat="false" ht="15" hidden="false" customHeight="false" outlineLevel="0" collapsed="false">
      <c r="A27" s="16" t="s">
        <v>410</v>
      </c>
      <c r="B27" s="21" t="s">
        <v>11</v>
      </c>
      <c r="C27" s="21" t="s">
        <v>11</v>
      </c>
      <c r="D27" s="16" t="s">
        <v>398</v>
      </c>
      <c r="E27" s="21" t="s">
        <v>11</v>
      </c>
      <c r="F27" s="16" t="s">
        <v>663</v>
      </c>
      <c r="G27" s="16" t="s">
        <v>663</v>
      </c>
      <c r="H27" s="21" t="s">
        <v>11</v>
      </c>
      <c r="I27" s="21" t="s">
        <v>11</v>
      </c>
      <c r="J27" s="21" t="s">
        <v>11</v>
      </c>
      <c r="K27" s="16" t="s">
        <v>663</v>
      </c>
      <c r="L27" s="16" t="s">
        <v>663</v>
      </c>
      <c r="M27" s="16" t="s">
        <v>663</v>
      </c>
      <c r="N27" s="21" t="s">
        <v>11</v>
      </c>
      <c r="O27" s="16" t="s">
        <v>664</v>
      </c>
      <c r="P27" s="16" t="s">
        <v>663</v>
      </c>
      <c r="Q27" s="21" t="s">
        <v>11</v>
      </c>
      <c r="R27" s="21" t="s">
        <v>11</v>
      </c>
      <c r="S27" s="16" t="s">
        <v>665</v>
      </c>
      <c r="T27" s="16" t="s">
        <v>410</v>
      </c>
      <c r="U27" s="22" t="n">
        <v>0</v>
      </c>
      <c r="V27" s="16" t="s">
        <v>666</v>
      </c>
    </row>
    <row r="28" customFormat="false" ht="15" hidden="false" customHeight="false" outlineLevel="0" collapsed="false">
      <c r="A28" s="16" t="s">
        <v>413</v>
      </c>
      <c r="B28" s="21" t="s">
        <v>11</v>
      </c>
      <c r="C28" s="21" t="s">
        <v>11</v>
      </c>
      <c r="D28" s="16" t="s">
        <v>398</v>
      </c>
      <c r="E28" s="21" t="s">
        <v>11</v>
      </c>
      <c r="F28" s="16" t="s">
        <v>663</v>
      </c>
      <c r="G28" s="16" t="s">
        <v>663</v>
      </c>
      <c r="H28" s="21" t="s">
        <v>11</v>
      </c>
      <c r="I28" s="21" t="s">
        <v>11</v>
      </c>
      <c r="J28" s="21" t="s">
        <v>11</v>
      </c>
      <c r="K28" s="16" t="s">
        <v>663</v>
      </c>
      <c r="L28" s="16" t="s">
        <v>663</v>
      </c>
      <c r="M28" s="16" t="s">
        <v>663</v>
      </c>
      <c r="N28" s="21" t="s">
        <v>11</v>
      </c>
      <c r="O28" s="16" t="s">
        <v>664</v>
      </c>
      <c r="P28" s="16" t="s">
        <v>663</v>
      </c>
      <c r="Q28" s="21" t="s">
        <v>11</v>
      </c>
      <c r="R28" s="21" t="s">
        <v>11</v>
      </c>
      <c r="S28" s="16" t="s">
        <v>665</v>
      </c>
      <c r="T28" s="16" t="s">
        <v>413</v>
      </c>
      <c r="U28" s="22" t="n">
        <v>0</v>
      </c>
      <c r="V28" s="16" t="s">
        <v>666</v>
      </c>
    </row>
    <row r="29" customFormat="false" ht="15" hidden="false" customHeight="false" outlineLevel="0" collapsed="false">
      <c r="A29" s="16" t="s">
        <v>163</v>
      </c>
      <c r="B29" s="16" t="s">
        <v>160</v>
      </c>
      <c r="C29" s="16" t="s">
        <v>161</v>
      </c>
      <c r="D29" s="16" t="s">
        <v>50</v>
      </c>
      <c r="E29" s="16" t="n">
        <v>18</v>
      </c>
      <c r="F29" s="16" t="s">
        <v>663</v>
      </c>
      <c r="G29" s="16" t="s">
        <v>663</v>
      </c>
      <c r="H29" s="21" t="s">
        <v>11</v>
      </c>
      <c r="I29" s="21" t="s">
        <v>11</v>
      </c>
      <c r="J29" s="21" t="s">
        <v>11</v>
      </c>
      <c r="K29" s="16" t="s">
        <v>663</v>
      </c>
      <c r="L29" s="16" t="s">
        <v>663</v>
      </c>
      <c r="M29" s="16" t="s">
        <v>663</v>
      </c>
      <c r="N29" s="21" t="s">
        <v>11</v>
      </c>
      <c r="O29" s="16" t="s">
        <v>664</v>
      </c>
      <c r="P29" s="16" t="s">
        <v>663</v>
      </c>
      <c r="Q29" s="21" t="s">
        <v>11</v>
      </c>
      <c r="R29" s="21" t="s">
        <v>11</v>
      </c>
      <c r="S29" s="16" t="s">
        <v>665</v>
      </c>
      <c r="T29" s="16" t="s">
        <v>163</v>
      </c>
      <c r="U29" s="22" t="n">
        <v>0</v>
      </c>
      <c r="V29" s="16" t="s">
        <v>666</v>
      </c>
    </row>
    <row r="30" customFormat="false" ht="15" hidden="false" customHeight="false" outlineLevel="0" collapsed="false">
      <c r="A30" s="16" t="s">
        <v>120</v>
      </c>
      <c r="B30" s="16" t="s">
        <v>117</v>
      </c>
      <c r="C30" s="16" t="s">
        <v>110</v>
      </c>
      <c r="D30" s="16" t="s">
        <v>50</v>
      </c>
      <c r="E30" s="16" t="n">
        <v>18</v>
      </c>
      <c r="F30" s="16" t="s">
        <v>663</v>
      </c>
      <c r="G30" s="16" t="s">
        <v>663</v>
      </c>
      <c r="H30" s="21" t="s">
        <v>11</v>
      </c>
      <c r="I30" s="21" t="s">
        <v>11</v>
      </c>
      <c r="J30" s="21" t="s">
        <v>11</v>
      </c>
      <c r="K30" s="16" t="s">
        <v>663</v>
      </c>
      <c r="L30" s="16" t="s">
        <v>663</v>
      </c>
      <c r="M30" s="16" t="s">
        <v>663</v>
      </c>
      <c r="N30" s="21" t="s">
        <v>11</v>
      </c>
      <c r="O30" s="16" t="s">
        <v>664</v>
      </c>
      <c r="P30" s="16" t="s">
        <v>663</v>
      </c>
      <c r="Q30" s="21" t="s">
        <v>11</v>
      </c>
      <c r="R30" s="21" t="s">
        <v>11</v>
      </c>
      <c r="S30" s="16" t="s">
        <v>665</v>
      </c>
      <c r="T30" s="16" t="s">
        <v>120</v>
      </c>
      <c r="U30" s="22" t="n">
        <v>0</v>
      </c>
      <c r="V30" s="16" t="s">
        <v>666</v>
      </c>
    </row>
    <row r="31" customFormat="false" ht="15" hidden="false" customHeight="false" outlineLevel="0" collapsed="false">
      <c r="A31" s="16" t="s">
        <v>416</v>
      </c>
      <c r="B31" s="21" t="s">
        <v>11</v>
      </c>
      <c r="C31" s="21" t="s">
        <v>11</v>
      </c>
      <c r="D31" s="16" t="s">
        <v>398</v>
      </c>
      <c r="E31" s="21" t="s">
        <v>11</v>
      </c>
      <c r="F31" s="16" t="s">
        <v>663</v>
      </c>
      <c r="G31" s="16" t="s">
        <v>663</v>
      </c>
      <c r="H31" s="21" t="s">
        <v>11</v>
      </c>
      <c r="I31" s="21" t="s">
        <v>11</v>
      </c>
      <c r="J31" s="21" t="s">
        <v>11</v>
      </c>
      <c r="K31" s="16" t="s">
        <v>663</v>
      </c>
      <c r="L31" s="16" t="s">
        <v>663</v>
      </c>
      <c r="M31" s="16" t="s">
        <v>663</v>
      </c>
      <c r="N31" s="21" t="s">
        <v>11</v>
      </c>
      <c r="O31" s="16" t="s">
        <v>664</v>
      </c>
      <c r="P31" s="16" t="s">
        <v>663</v>
      </c>
      <c r="Q31" s="21" t="s">
        <v>11</v>
      </c>
      <c r="R31" s="21" t="s">
        <v>11</v>
      </c>
      <c r="S31" s="16" t="s">
        <v>665</v>
      </c>
      <c r="T31" s="16" t="s">
        <v>416</v>
      </c>
      <c r="U31" s="22" t="n">
        <v>0</v>
      </c>
      <c r="V31" s="16" t="s">
        <v>666</v>
      </c>
    </row>
    <row r="32" customFormat="false" ht="15" hidden="false" customHeight="false" outlineLevel="0" collapsed="false">
      <c r="A32" s="16" t="s">
        <v>270</v>
      </c>
      <c r="B32" s="21" t="s">
        <v>11</v>
      </c>
      <c r="C32" s="21" t="s">
        <v>11</v>
      </c>
      <c r="D32" s="16" t="s">
        <v>254</v>
      </c>
      <c r="E32" s="21" t="s">
        <v>11</v>
      </c>
      <c r="F32" s="16" t="s">
        <v>663</v>
      </c>
      <c r="G32" s="16" t="s">
        <v>663</v>
      </c>
      <c r="H32" s="21" t="s">
        <v>11</v>
      </c>
      <c r="I32" s="21" t="s">
        <v>11</v>
      </c>
      <c r="J32" s="21" t="s">
        <v>11</v>
      </c>
      <c r="K32" s="16" t="s">
        <v>663</v>
      </c>
      <c r="L32" s="16" t="s">
        <v>663</v>
      </c>
      <c r="M32" s="16" t="s">
        <v>663</v>
      </c>
      <c r="N32" s="21" t="s">
        <v>11</v>
      </c>
      <c r="O32" s="16" t="s">
        <v>664</v>
      </c>
      <c r="P32" s="16" t="s">
        <v>663</v>
      </c>
      <c r="Q32" s="21" t="s">
        <v>11</v>
      </c>
      <c r="R32" s="21" t="s">
        <v>11</v>
      </c>
      <c r="S32" s="16" t="s">
        <v>665</v>
      </c>
      <c r="T32" s="16" t="s">
        <v>270</v>
      </c>
      <c r="U32" s="22" t="n">
        <v>0</v>
      </c>
      <c r="V32" s="16" t="s">
        <v>666</v>
      </c>
    </row>
    <row r="33" customFormat="false" ht="15" hidden="false" customHeight="false" outlineLevel="0" collapsed="false">
      <c r="A33" s="16" t="s">
        <v>330</v>
      </c>
      <c r="B33" s="21" t="s">
        <v>11</v>
      </c>
      <c r="C33" s="21" t="s">
        <v>11</v>
      </c>
      <c r="D33" s="16" t="s">
        <v>312</v>
      </c>
      <c r="E33" s="21" t="s">
        <v>11</v>
      </c>
      <c r="F33" s="16" t="s">
        <v>663</v>
      </c>
      <c r="G33" s="16" t="s">
        <v>663</v>
      </c>
      <c r="H33" s="21" t="s">
        <v>11</v>
      </c>
      <c r="I33" s="21" t="s">
        <v>11</v>
      </c>
      <c r="J33" s="21" t="s">
        <v>11</v>
      </c>
      <c r="K33" s="16" t="s">
        <v>663</v>
      </c>
      <c r="L33" s="16" t="s">
        <v>663</v>
      </c>
      <c r="M33" s="16" t="s">
        <v>663</v>
      </c>
      <c r="N33" s="21" t="s">
        <v>11</v>
      </c>
      <c r="O33" s="16" t="s">
        <v>664</v>
      </c>
      <c r="P33" s="16" t="s">
        <v>663</v>
      </c>
      <c r="Q33" s="21" t="s">
        <v>11</v>
      </c>
      <c r="R33" s="21" t="s">
        <v>11</v>
      </c>
      <c r="S33" s="16" t="s">
        <v>665</v>
      </c>
      <c r="T33" s="16" t="s">
        <v>330</v>
      </c>
      <c r="U33" s="22" t="n">
        <v>0</v>
      </c>
      <c r="V33" s="16" t="s">
        <v>666</v>
      </c>
    </row>
    <row r="34" customFormat="false" ht="15" hidden="false" customHeight="false" outlineLevel="0" collapsed="false">
      <c r="A34" s="16" t="s">
        <v>47</v>
      </c>
      <c r="B34" s="16" t="s">
        <v>48</v>
      </c>
      <c r="C34" s="16" t="s">
        <v>49</v>
      </c>
      <c r="D34" s="16" t="s">
        <v>50</v>
      </c>
      <c r="E34" s="16" t="n">
        <v>18</v>
      </c>
      <c r="F34" s="16" t="s">
        <v>663</v>
      </c>
      <c r="G34" s="16" t="s">
        <v>663</v>
      </c>
      <c r="H34" s="21" t="s">
        <v>11</v>
      </c>
      <c r="I34" s="21" t="s">
        <v>11</v>
      </c>
      <c r="J34" s="21" t="s">
        <v>11</v>
      </c>
      <c r="K34" s="16" t="s">
        <v>663</v>
      </c>
      <c r="L34" s="16" t="s">
        <v>663</v>
      </c>
      <c r="M34" s="16" t="s">
        <v>663</v>
      </c>
      <c r="N34" s="21" t="s">
        <v>11</v>
      </c>
      <c r="O34" s="16" t="s">
        <v>664</v>
      </c>
      <c r="P34" s="16" t="s">
        <v>663</v>
      </c>
      <c r="Q34" s="21" t="s">
        <v>11</v>
      </c>
      <c r="R34" s="21" t="s">
        <v>11</v>
      </c>
      <c r="S34" s="16" t="s">
        <v>665</v>
      </c>
      <c r="T34" s="16" t="s">
        <v>47</v>
      </c>
      <c r="U34" s="22" t="n">
        <v>0</v>
      </c>
      <c r="V34" s="16" t="s">
        <v>666</v>
      </c>
    </row>
    <row r="35" customFormat="false" ht="15" hidden="false" customHeight="false" outlineLevel="0" collapsed="false">
      <c r="A35" s="16" t="s">
        <v>271</v>
      </c>
      <c r="B35" s="21" t="s">
        <v>11</v>
      </c>
      <c r="C35" s="21" t="s">
        <v>11</v>
      </c>
      <c r="D35" s="16" t="s">
        <v>254</v>
      </c>
      <c r="E35" s="21" t="s">
        <v>11</v>
      </c>
      <c r="F35" s="16" t="s">
        <v>663</v>
      </c>
      <c r="G35" s="16" t="s">
        <v>663</v>
      </c>
      <c r="H35" s="21" t="s">
        <v>11</v>
      </c>
      <c r="I35" s="21" t="s">
        <v>11</v>
      </c>
      <c r="J35" s="21" t="s">
        <v>11</v>
      </c>
      <c r="K35" s="16" t="s">
        <v>663</v>
      </c>
      <c r="L35" s="16" t="s">
        <v>663</v>
      </c>
      <c r="M35" s="16" t="s">
        <v>663</v>
      </c>
      <c r="N35" s="21" t="s">
        <v>11</v>
      </c>
      <c r="O35" s="16" t="s">
        <v>664</v>
      </c>
      <c r="P35" s="16" t="s">
        <v>663</v>
      </c>
      <c r="Q35" s="21" t="s">
        <v>11</v>
      </c>
      <c r="R35" s="21" t="s">
        <v>11</v>
      </c>
      <c r="S35" s="16" t="s">
        <v>665</v>
      </c>
      <c r="T35" s="16" t="s">
        <v>271</v>
      </c>
      <c r="U35" s="22" t="n">
        <v>0</v>
      </c>
      <c r="V35" s="16" t="s">
        <v>666</v>
      </c>
    </row>
    <row r="36" customFormat="false" ht="15" hidden="false" customHeight="false" outlineLevel="0" collapsed="false">
      <c r="A36" s="16" t="s">
        <v>333</v>
      </c>
      <c r="B36" s="21" t="s">
        <v>11</v>
      </c>
      <c r="C36" s="21" t="s">
        <v>11</v>
      </c>
      <c r="D36" s="16" t="s">
        <v>312</v>
      </c>
      <c r="E36" s="21" t="s">
        <v>11</v>
      </c>
      <c r="F36" s="16" t="s">
        <v>663</v>
      </c>
      <c r="G36" s="16" t="s">
        <v>663</v>
      </c>
      <c r="H36" s="21" t="s">
        <v>11</v>
      </c>
      <c r="I36" s="21" t="s">
        <v>11</v>
      </c>
      <c r="J36" s="21" t="s">
        <v>11</v>
      </c>
      <c r="K36" s="16" t="s">
        <v>663</v>
      </c>
      <c r="L36" s="16" t="s">
        <v>663</v>
      </c>
      <c r="M36" s="16" t="s">
        <v>663</v>
      </c>
      <c r="N36" s="21" t="s">
        <v>11</v>
      </c>
      <c r="O36" s="16" t="s">
        <v>664</v>
      </c>
      <c r="P36" s="16" t="s">
        <v>663</v>
      </c>
      <c r="Q36" s="21" t="s">
        <v>11</v>
      </c>
      <c r="R36" s="21" t="s">
        <v>11</v>
      </c>
      <c r="S36" s="16" t="s">
        <v>665</v>
      </c>
      <c r="T36" s="16" t="s">
        <v>333</v>
      </c>
      <c r="U36" s="22" t="n">
        <v>0</v>
      </c>
      <c r="V36" s="16" t="s">
        <v>666</v>
      </c>
    </row>
    <row r="37" customFormat="false" ht="15" hidden="false" customHeight="false" outlineLevel="0" collapsed="false">
      <c r="A37" s="16" t="s">
        <v>272</v>
      </c>
      <c r="B37" s="21" t="s">
        <v>11</v>
      </c>
      <c r="C37" s="21" t="s">
        <v>11</v>
      </c>
      <c r="D37" s="16" t="s">
        <v>254</v>
      </c>
      <c r="E37" s="21" t="s">
        <v>11</v>
      </c>
      <c r="F37" s="16" t="s">
        <v>663</v>
      </c>
      <c r="G37" s="16" t="s">
        <v>663</v>
      </c>
      <c r="H37" s="21" t="s">
        <v>11</v>
      </c>
      <c r="I37" s="21" t="s">
        <v>11</v>
      </c>
      <c r="J37" s="21" t="s">
        <v>11</v>
      </c>
      <c r="K37" s="16" t="s">
        <v>663</v>
      </c>
      <c r="L37" s="16" t="s">
        <v>663</v>
      </c>
      <c r="M37" s="16" t="s">
        <v>663</v>
      </c>
      <c r="N37" s="21" t="s">
        <v>11</v>
      </c>
      <c r="O37" s="16" t="s">
        <v>664</v>
      </c>
      <c r="P37" s="16" t="s">
        <v>663</v>
      </c>
      <c r="Q37" s="21" t="s">
        <v>11</v>
      </c>
      <c r="R37" s="21" t="s">
        <v>11</v>
      </c>
      <c r="S37" s="16" t="s">
        <v>665</v>
      </c>
      <c r="T37" s="16" t="s">
        <v>272</v>
      </c>
      <c r="U37" s="22" t="n">
        <v>0</v>
      </c>
      <c r="V37" s="16" t="s">
        <v>666</v>
      </c>
    </row>
    <row r="38" customFormat="false" ht="15" hidden="false" customHeight="false" outlineLevel="0" collapsed="false">
      <c r="A38" s="16" t="s">
        <v>121</v>
      </c>
      <c r="B38" s="16" t="s">
        <v>117</v>
      </c>
      <c r="C38" s="16" t="s">
        <v>110</v>
      </c>
      <c r="D38" s="16" t="s">
        <v>50</v>
      </c>
      <c r="E38" s="16" t="n">
        <v>18</v>
      </c>
      <c r="F38" s="16" t="s">
        <v>663</v>
      </c>
      <c r="G38" s="16" t="s">
        <v>663</v>
      </c>
      <c r="H38" s="21" t="s">
        <v>11</v>
      </c>
      <c r="I38" s="21" t="s">
        <v>11</v>
      </c>
      <c r="J38" s="21" t="s">
        <v>11</v>
      </c>
      <c r="K38" s="16" t="s">
        <v>663</v>
      </c>
      <c r="L38" s="16" t="s">
        <v>663</v>
      </c>
      <c r="M38" s="16" t="s">
        <v>663</v>
      </c>
      <c r="N38" s="21" t="s">
        <v>11</v>
      </c>
      <c r="O38" s="16" t="s">
        <v>664</v>
      </c>
      <c r="P38" s="16" t="s">
        <v>663</v>
      </c>
      <c r="Q38" s="21" t="s">
        <v>11</v>
      </c>
      <c r="R38" s="21" t="s">
        <v>11</v>
      </c>
      <c r="S38" s="16" t="s">
        <v>665</v>
      </c>
      <c r="T38" s="16" t="s">
        <v>121</v>
      </c>
      <c r="U38" s="22" t="n">
        <v>0</v>
      </c>
      <c r="V38" s="16" t="s">
        <v>666</v>
      </c>
    </row>
    <row r="39" customFormat="false" ht="15" hidden="false" customHeight="false" outlineLevel="0" collapsed="false">
      <c r="A39" s="16" t="s">
        <v>335</v>
      </c>
      <c r="B39" s="21" t="s">
        <v>11</v>
      </c>
      <c r="C39" s="21" t="s">
        <v>11</v>
      </c>
      <c r="D39" s="16" t="s">
        <v>312</v>
      </c>
      <c r="E39" s="21" t="s">
        <v>11</v>
      </c>
      <c r="F39" s="16" t="s">
        <v>663</v>
      </c>
      <c r="G39" s="16" t="s">
        <v>663</v>
      </c>
      <c r="H39" s="21" t="s">
        <v>11</v>
      </c>
      <c r="I39" s="21" t="s">
        <v>11</v>
      </c>
      <c r="J39" s="21" t="s">
        <v>11</v>
      </c>
      <c r="K39" s="16" t="s">
        <v>663</v>
      </c>
      <c r="L39" s="16" t="s">
        <v>663</v>
      </c>
      <c r="M39" s="16" t="s">
        <v>663</v>
      </c>
      <c r="N39" s="21" t="s">
        <v>11</v>
      </c>
      <c r="O39" s="16" t="s">
        <v>664</v>
      </c>
      <c r="P39" s="16" t="s">
        <v>663</v>
      </c>
      <c r="Q39" s="21" t="s">
        <v>11</v>
      </c>
      <c r="R39" s="21" t="s">
        <v>11</v>
      </c>
      <c r="S39" s="16" t="s">
        <v>665</v>
      </c>
      <c r="T39" s="16" t="s">
        <v>335</v>
      </c>
      <c r="U39" s="22" t="n">
        <v>0</v>
      </c>
      <c r="V39" s="16" t="s">
        <v>666</v>
      </c>
    </row>
    <row r="40" customFormat="false" ht="15" hidden="false" customHeight="false" outlineLevel="0" collapsed="false">
      <c r="A40" s="16" t="s">
        <v>196</v>
      </c>
      <c r="B40" s="16" t="s">
        <v>182</v>
      </c>
      <c r="C40" s="16" t="s">
        <v>194</v>
      </c>
      <c r="D40" s="16" t="s">
        <v>50</v>
      </c>
      <c r="E40" s="16" t="n">
        <v>18</v>
      </c>
      <c r="F40" s="16" t="s">
        <v>663</v>
      </c>
      <c r="G40" s="16" t="s">
        <v>663</v>
      </c>
      <c r="H40" s="21" t="s">
        <v>11</v>
      </c>
      <c r="I40" s="21" t="s">
        <v>11</v>
      </c>
      <c r="J40" s="21" t="s">
        <v>11</v>
      </c>
      <c r="K40" s="16" t="s">
        <v>663</v>
      </c>
      <c r="L40" s="16" t="s">
        <v>663</v>
      </c>
      <c r="M40" s="16" t="s">
        <v>663</v>
      </c>
      <c r="N40" s="21" t="s">
        <v>11</v>
      </c>
      <c r="O40" s="16" t="s">
        <v>664</v>
      </c>
      <c r="P40" s="16" t="s">
        <v>663</v>
      </c>
      <c r="Q40" s="21" t="s">
        <v>11</v>
      </c>
      <c r="R40" s="21" t="s">
        <v>11</v>
      </c>
      <c r="S40" s="16" t="s">
        <v>665</v>
      </c>
      <c r="T40" s="16" t="s">
        <v>196</v>
      </c>
      <c r="U40" s="22" t="n">
        <v>0</v>
      </c>
      <c r="V40" s="16" t="s">
        <v>666</v>
      </c>
    </row>
    <row r="41" customFormat="false" ht="15" hidden="false" customHeight="false" outlineLevel="0" collapsed="false">
      <c r="A41" s="16" t="s">
        <v>274</v>
      </c>
      <c r="B41" s="21" t="s">
        <v>11</v>
      </c>
      <c r="C41" s="21" t="s">
        <v>11</v>
      </c>
      <c r="D41" s="16" t="s">
        <v>254</v>
      </c>
      <c r="E41" s="21" t="s">
        <v>11</v>
      </c>
      <c r="F41" s="16" t="s">
        <v>663</v>
      </c>
      <c r="G41" s="16" t="s">
        <v>663</v>
      </c>
      <c r="H41" s="21" t="s">
        <v>11</v>
      </c>
      <c r="I41" s="21" t="s">
        <v>11</v>
      </c>
      <c r="J41" s="21" t="s">
        <v>11</v>
      </c>
      <c r="K41" s="16" t="s">
        <v>663</v>
      </c>
      <c r="L41" s="16" t="s">
        <v>663</v>
      </c>
      <c r="M41" s="16" t="s">
        <v>663</v>
      </c>
      <c r="N41" s="21" t="s">
        <v>11</v>
      </c>
      <c r="O41" s="16" t="s">
        <v>664</v>
      </c>
      <c r="P41" s="16" t="s">
        <v>663</v>
      </c>
      <c r="Q41" s="21" t="s">
        <v>11</v>
      </c>
      <c r="R41" s="21" t="s">
        <v>11</v>
      </c>
      <c r="S41" s="16" t="s">
        <v>665</v>
      </c>
      <c r="T41" s="16" t="s">
        <v>274</v>
      </c>
      <c r="U41" s="22" t="n">
        <v>0</v>
      </c>
      <c r="V41" s="16" t="s">
        <v>666</v>
      </c>
    </row>
    <row r="42" customFormat="false" ht="15" hidden="false" customHeight="false" outlineLevel="0" collapsed="false">
      <c r="A42" s="16" t="s">
        <v>363</v>
      </c>
      <c r="B42" s="16" t="s">
        <v>357</v>
      </c>
      <c r="C42" s="16" t="s">
        <v>358</v>
      </c>
      <c r="D42" s="16" t="s">
        <v>359</v>
      </c>
      <c r="E42" s="16" t="n">
        <v>18</v>
      </c>
      <c r="F42" s="16" t="s">
        <v>663</v>
      </c>
      <c r="G42" s="16" t="s">
        <v>663</v>
      </c>
      <c r="H42" s="21" t="s">
        <v>11</v>
      </c>
      <c r="I42" s="21" t="s">
        <v>11</v>
      </c>
      <c r="J42" s="21" t="s">
        <v>11</v>
      </c>
      <c r="K42" s="16" t="s">
        <v>663</v>
      </c>
      <c r="L42" s="16" t="s">
        <v>663</v>
      </c>
      <c r="M42" s="16" t="s">
        <v>663</v>
      </c>
      <c r="N42" s="21" t="s">
        <v>11</v>
      </c>
      <c r="O42" s="16" t="s">
        <v>664</v>
      </c>
      <c r="P42" s="16" t="s">
        <v>663</v>
      </c>
      <c r="Q42" s="21" t="s">
        <v>11</v>
      </c>
      <c r="R42" s="21" t="s">
        <v>11</v>
      </c>
      <c r="S42" s="16" t="s">
        <v>665</v>
      </c>
      <c r="T42" s="16" t="s">
        <v>363</v>
      </c>
      <c r="U42" s="22" t="n">
        <v>0</v>
      </c>
      <c r="V42" s="16" t="s">
        <v>667</v>
      </c>
    </row>
    <row r="43" customFormat="false" ht="15" hidden="false" customHeight="false" outlineLevel="0" collapsed="false">
      <c r="A43" s="16" t="s">
        <v>122</v>
      </c>
      <c r="B43" s="16" t="s">
        <v>117</v>
      </c>
      <c r="C43" s="16" t="s">
        <v>110</v>
      </c>
      <c r="D43" s="16" t="s">
        <v>50</v>
      </c>
      <c r="E43" s="16" t="n">
        <v>18</v>
      </c>
      <c r="F43" s="16" t="s">
        <v>663</v>
      </c>
      <c r="G43" s="16" t="s">
        <v>663</v>
      </c>
      <c r="H43" s="21" t="s">
        <v>11</v>
      </c>
      <c r="I43" s="21" t="s">
        <v>11</v>
      </c>
      <c r="J43" s="21" t="s">
        <v>11</v>
      </c>
      <c r="K43" s="16" t="s">
        <v>663</v>
      </c>
      <c r="L43" s="16" t="s">
        <v>663</v>
      </c>
      <c r="M43" s="16" t="s">
        <v>663</v>
      </c>
      <c r="N43" s="21" t="s">
        <v>11</v>
      </c>
      <c r="O43" s="16" t="s">
        <v>664</v>
      </c>
      <c r="P43" s="16" t="s">
        <v>663</v>
      </c>
      <c r="Q43" s="21" t="s">
        <v>11</v>
      </c>
      <c r="R43" s="21" t="s">
        <v>11</v>
      </c>
      <c r="S43" s="16" t="s">
        <v>665</v>
      </c>
      <c r="T43" s="16" t="s">
        <v>122</v>
      </c>
      <c r="U43" s="22" t="n">
        <v>0</v>
      </c>
      <c r="V43" s="16" t="s">
        <v>666</v>
      </c>
    </row>
    <row r="44" customFormat="false" ht="15" hidden="false" customHeight="false" outlineLevel="0" collapsed="false">
      <c r="A44" s="16" t="s">
        <v>365</v>
      </c>
      <c r="B44" s="16" t="s">
        <v>357</v>
      </c>
      <c r="C44" s="16" t="s">
        <v>358</v>
      </c>
      <c r="D44" s="16" t="s">
        <v>359</v>
      </c>
      <c r="E44" s="16" t="n">
        <v>18</v>
      </c>
      <c r="F44" s="16" t="s">
        <v>663</v>
      </c>
      <c r="G44" s="16" t="s">
        <v>663</v>
      </c>
      <c r="H44" s="21" t="s">
        <v>11</v>
      </c>
      <c r="I44" s="21" t="s">
        <v>11</v>
      </c>
      <c r="J44" s="21" t="s">
        <v>11</v>
      </c>
      <c r="K44" s="16" t="s">
        <v>663</v>
      </c>
      <c r="L44" s="16" t="s">
        <v>663</v>
      </c>
      <c r="M44" s="16" t="s">
        <v>663</v>
      </c>
      <c r="N44" s="21" t="s">
        <v>11</v>
      </c>
      <c r="O44" s="16" t="s">
        <v>664</v>
      </c>
      <c r="P44" s="16" t="s">
        <v>663</v>
      </c>
      <c r="Q44" s="21" t="s">
        <v>11</v>
      </c>
      <c r="R44" s="21" t="s">
        <v>11</v>
      </c>
      <c r="S44" s="16" t="s">
        <v>665</v>
      </c>
      <c r="T44" s="16" t="s">
        <v>365</v>
      </c>
      <c r="U44" s="22" t="n">
        <v>0</v>
      </c>
      <c r="V44" s="16" t="s">
        <v>667</v>
      </c>
    </row>
    <row r="45" customFormat="false" ht="15" hidden="false" customHeight="false" outlineLevel="0" collapsed="false">
      <c r="A45" s="16" t="s">
        <v>337</v>
      </c>
      <c r="B45" s="21" t="s">
        <v>11</v>
      </c>
      <c r="C45" s="21" t="s">
        <v>11</v>
      </c>
      <c r="D45" s="16" t="s">
        <v>312</v>
      </c>
      <c r="E45" s="21" t="s">
        <v>11</v>
      </c>
      <c r="F45" s="16" t="s">
        <v>663</v>
      </c>
      <c r="G45" s="16" t="s">
        <v>663</v>
      </c>
      <c r="H45" s="21" t="s">
        <v>11</v>
      </c>
      <c r="I45" s="21" t="s">
        <v>11</v>
      </c>
      <c r="J45" s="21" t="s">
        <v>11</v>
      </c>
      <c r="K45" s="16" t="s">
        <v>663</v>
      </c>
      <c r="L45" s="16" t="s">
        <v>663</v>
      </c>
      <c r="M45" s="16" t="s">
        <v>663</v>
      </c>
      <c r="N45" s="21" t="s">
        <v>11</v>
      </c>
      <c r="O45" s="16" t="s">
        <v>664</v>
      </c>
      <c r="P45" s="16" t="s">
        <v>663</v>
      </c>
      <c r="Q45" s="21" t="s">
        <v>11</v>
      </c>
      <c r="R45" s="21" t="s">
        <v>11</v>
      </c>
      <c r="S45" s="16" t="s">
        <v>665</v>
      </c>
      <c r="T45" s="16" t="s">
        <v>337</v>
      </c>
      <c r="U45" s="22" t="n">
        <v>0</v>
      </c>
      <c r="V45" s="16" t="s">
        <v>666</v>
      </c>
    </row>
    <row r="46" customFormat="false" ht="15" hidden="false" customHeight="false" outlineLevel="0" collapsed="false">
      <c r="A46" s="16" t="s">
        <v>418</v>
      </c>
      <c r="B46" s="21" t="s">
        <v>11</v>
      </c>
      <c r="C46" s="21" t="s">
        <v>11</v>
      </c>
      <c r="D46" s="16" t="s">
        <v>398</v>
      </c>
      <c r="E46" s="21" t="s">
        <v>11</v>
      </c>
      <c r="F46" s="16" t="s">
        <v>663</v>
      </c>
      <c r="G46" s="16" t="s">
        <v>663</v>
      </c>
      <c r="H46" s="21" t="s">
        <v>11</v>
      </c>
      <c r="I46" s="21" t="s">
        <v>11</v>
      </c>
      <c r="J46" s="21" t="s">
        <v>11</v>
      </c>
      <c r="K46" s="16" t="s">
        <v>663</v>
      </c>
      <c r="L46" s="16" t="s">
        <v>663</v>
      </c>
      <c r="M46" s="16" t="s">
        <v>663</v>
      </c>
      <c r="N46" s="21" t="s">
        <v>11</v>
      </c>
      <c r="O46" s="16" t="s">
        <v>664</v>
      </c>
      <c r="P46" s="16" t="s">
        <v>663</v>
      </c>
      <c r="Q46" s="21" t="s">
        <v>11</v>
      </c>
      <c r="R46" s="21" t="s">
        <v>11</v>
      </c>
      <c r="S46" s="16" t="s">
        <v>665</v>
      </c>
      <c r="T46" s="16" t="s">
        <v>418</v>
      </c>
      <c r="U46" s="22" t="n">
        <v>0</v>
      </c>
      <c r="V46" s="16" t="s">
        <v>666</v>
      </c>
    </row>
    <row r="47" customFormat="false" ht="15" hidden="false" customHeight="false" outlineLevel="0" collapsed="false">
      <c r="A47" s="16" t="s">
        <v>367</v>
      </c>
      <c r="B47" s="16" t="s">
        <v>357</v>
      </c>
      <c r="C47" s="16" t="s">
        <v>358</v>
      </c>
      <c r="D47" s="16" t="s">
        <v>359</v>
      </c>
      <c r="E47" s="16" t="n">
        <v>18</v>
      </c>
      <c r="F47" s="16" t="s">
        <v>663</v>
      </c>
      <c r="G47" s="16" t="s">
        <v>663</v>
      </c>
      <c r="H47" s="21" t="s">
        <v>11</v>
      </c>
      <c r="I47" s="21" t="s">
        <v>11</v>
      </c>
      <c r="J47" s="21" t="s">
        <v>11</v>
      </c>
      <c r="K47" s="16" t="s">
        <v>663</v>
      </c>
      <c r="L47" s="16" t="s">
        <v>663</v>
      </c>
      <c r="M47" s="16" t="s">
        <v>663</v>
      </c>
      <c r="N47" s="21" t="s">
        <v>11</v>
      </c>
      <c r="O47" s="16" t="s">
        <v>664</v>
      </c>
      <c r="P47" s="16" t="s">
        <v>663</v>
      </c>
      <c r="Q47" s="21" t="s">
        <v>11</v>
      </c>
      <c r="R47" s="21" t="s">
        <v>11</v>
      </c>
      <c r="S47" s="16" t="s">
        <v>665</v>
      </c>
      <c r="T47" s="16" t="s">
        <v>367</v>
      </c>
      <c r="U47" s="22" t="n">
        <v>0</v>
      </c>
      <c r="V47" s="16" t="s">
        <v>667</v>
      </c>
    </row>
    <row r="48" customFormat="false" ht="15" hidden="false" customHeight="false" outlineLevel="0" collapsed="false">
      <c r="A48" s="16" t="s">
        <v>420</v>
      </c>
      <c r="B48" s="21" t="s">
        <v>11</v>
      </c>
      <c r="C48" s="21" t="s">
        <v>11</v>
      </c>
      <c r="D48" s="16" t="s">
        <v>398</v>
      </c>
      <c r="E48" s="21" t="s">
        <v>11</v>
      </c>
      <c r="F48" s="16" t="s">
        <v>663</v>
      </c>
      <c r="G48" s="16" t="s">
        <v>663</v>
      </c>
      <c r="H48" s="21" t="s">
        <v>11</v>
      </c>
      <c r="I48" s="21" t="s">
        <v>11</v>
      </c>
      <c r="J48" s="21" t="s">
        <v>11</v>
      </c>
      <c r="K48" s="16" t="s">
        <v>663</v>
      </c>
      <c r="L48" s="16" t="s">
        <v>663</v>
      </c>
      <c r="M48" s="16" t="s">
        <v>663</v>
      </c>
      <c r="N48" s="21" t="s">
        <v>11</v>
      </c>
      <c r="O48" s="16" t="s">
        <v>664</v>
      </c>
      <c r="P48" s="16" t="s">
        <v>663</v>
      </c>
      <c r="Q48" s="21" t="s">
        <v>11</v>
      </c>
      <c r="R48" s="21" t="s">
        <v>11</v>
      </c>
      <c r="S48" s="16" t="s">
        <v>665</v>
      </c>
      <c r="T48" s="16" t="s">
        <v>420</v>
      </c>
      <c r="U48" s="22" t="n">
        <v>0</v>
      </c>
      <c r="V48" s="16" t="s">
        <v>666</v>
      </c>
    </row>
    <row r="49" customFormat="false" ht="15" hidden="false" customHeight="false" outlineLevel="0" collapsed="false">
      <c r="A49" s="16" t="s">
        <v>275</v>
      </c>
      <c r="B49" s="21" t="s">
        <v>11</v>
      </c>
      <c r="C49" s="21" t="s">
        <v>11</v>
      </c>
      <c r="D49" s="16" t="s">
        <v>254</v>
      </c>
      <c r="E49" s="21" t="s">
        <v>11</v>
      </c>
      <c r="F49" s="16" t="s">
        <v>663</v>
      </c>
      <c r="G49" s="16" t="s">
        <v>663</v>
      </c>
      <c r="H49" s="21" t="s">
        <v>11</v>
      </c>
      <c r="I49" s="21" t="s">
        <v>11</v>
      </c>
      <c r="J49" s="21" t="s">
        <v>11</v>
      </c>
      <c r="K49" s="16" t="s">
        <v>663</v>
      </c>
      <c r="L49" s="16" t="s">
        <v>663</v>
      </c>
      <c r="M49" s="16" t="s">
        <v>663</v>
      </c>
      <c r="N49" s="21" t="s">
        <v>11</v>
      </c>
      <c r="O49" s="16" t="s">
        <v>664</v>
      </c>
      <c r="P49" s="16" t="s">
        <v>663</v>
      </c>
      <c r="Q49" s="21" t="s">
        <v>11</v>
      </c>
      <c r="R49" s="21" t="s">
        <v>11</v>
      </c>
      <c r="S49" s="16" t="s">
        <v>665</v>
      </c>
      <c r="T49" s="16" t="s">
        <v>275</v>
      </c>
      <c r="U49" s="22" t="n">
        <v>0</v>
      </c>
      <c r="V49" s="16" t="s">
        <v>666</v>
      </c>
    </row>
    <row r="50" customFormat="false" ht="15" hidden="false" customHeight="false" outlineLevel="0" collapsed="false">
      <c r="A50" s="16" t="s">
        <v>276</v>
      </c>
      <c r="B50" s="21" t="s">
        <v>11</v>
      </c>
      <c r="C50" s="21" t="s">
        <v>11</v>
      </c>
      <c r="D50" s="16" t="s">
        <v>254</v>
      </c>
      <c r="E50" s="21" t="s">
        <v>11</v>
      </c>
      <c r="F50" s="16" t="s">
        <v>663</v>
      </c>
      <c r="G50" s="16" t="s">
        <v>663</v>
      </c>
      <c r="H50" s="21" t="s">
        <v>11</v>
      </c>
      <c r="I50" s="21" t="s">
        <v>11</v>
      </c>
      <c r="J50" s="21" t="s">
        <v>11</v>
      </c>
      <c r="K50" s="16" t="s">
        <v>663</v>
      </c>
      <c r="L50" s="16" t="s">
        <v>663</v>
      </c>
      <c r="M50" s="16" t="s">
        <v>663</v>
      </c>
      <c r="N50" s="21" t="s">
        <v>11</v>
      </c>
      <c r="O50" s="16" t="s">
        <v>664</v>
      </c>
      <c r="P50" s="16" t="s">
        <v>663</v>
      </c>
      <c r="Q50" s="21" t="s">
        <v>11</v>
      </c>
      <c r="R50" s="21" t="s">
        <v>11</v>
      </c>
      <c r="S50" s="16" t="s">
        <v>665</v>
      </c>
      <c r="T50" s="16" t="s">
        <v>276</v>
      </c>
      <c r="U50" s="22" t="n">
        <v>0</v>
      </c>
      <c r="V50" s="16" t="s">
        <v>666</v>
      </c>
    </row>
    <row r="51" customFormat="false" ht="15" hidden="false" customHeight="false" outlineLevel="0" collapsed="false">
      <c r="A51" s="16" t="s">
        <v>423</v>
      </c>
      <c r="B51" s="21" t="s">
        <v>11</v>
      </c>
      <c r="C51" s="21" t="s">
        <v>11</v>
      </c>
      <c r="D51" s="16" t="s">
        <v>398</v>
      </c>
      <c r="E51" s="21" t="s">
        <v>11</v>
      </c>
      <c r="F51" s="16" t="s">
        <v>663</v>
      </c>
      <c r="G51" s="16" t="s">
        <v>663</v>
      </c>
      <c r="H51" s="21" t="s">
        <v>11</v>
      </c>
      <c r="I51" s="21" t="s">
        <v>11</v>
      </c>
      <c r="J51" s="21" t="s">
        <v>11</v>
      </c>
      <c r="K51" s="16" t="s">
        <v>663</v>
      </c>
      <c r="L51" s="16" t="s">
        <v>663</v>
      </c>
      <c r="M51" s="16" t="s">
        <v>663</v>
      </c>
      <c r="N51" s="21" t="s">
        <v>11</v>
      </c>
      <c r="O51" s="16" t="s">
        <v>664</v>
      </c>
      <c r="P51" s="16" t="s">
        <v>663</v>
      </c>
      <c r="Q51" s="21" t="s">
        <v>11</v>
      </c>
      <c r="R51" s="21" t="s">
        <v>11</v>
      </c>
      <c r="S51" s="16" t="s">
        <v>665</v>
      </c>
      <c r="T51" s="16" t="s">
        <v>423</v>
      </c>
      <c r="U51" s="22" t="n">
        <v>0</v>
      </c>
      <c r="V51" s="16" t="s">
        <v>666</v>
      </c>
    </row>
    <row r="52" customFormat="false" ht="15" hidden="false" customHeight="false" outlineLevel="0" collapsed="false">
      <c r="A52" s="16" t="s">
        <v>369</v>
      </c>
      <c r="B52" s="16" t="s">
        <v>357</v>
      </c>
      <c r="C52" s="16" t="s">
        <v>358</v>
      </c>
      <c r="D52" s="16" t="s">
        <v>359</v>
      </c>
      <c r="E52" s="16" t="n">
        <v>18</v>
      </c>
      <c r="F52" s="16" t="s">
        <v>663</v>
      </c>
      <c r="G52" s="16" t="s">
        <v>663</v>
      </c>
      <c r="H52" s="21" t="s">
        <v>11</v>
      </c>
      <c r="I52" s="21" t="s">
        <v>11</v>
      </c>
      <c r="J52" s="21" t="s">
        <v>11</v>
      </c>
      <c r="K52" s="16" t="s">
        <v>663</v>
      </c>
      <c r="L52" s="16" t="s">
        <v>663</v>
      </c>
      <c r="M52" s="16" t="s">
        <v>663</v>
      </c>
      <c r="N52" s="21" t="s">
        <v>11</v>
      </c>
      <c r="O52" s="16" t="s">
        <v>664</v>
      </c>
      <c r="P52" s="16" t="s">
        <v>663</v>
      </c>
      <c r="Q52" s="21" t="s">
        <v>11</v>
      </c>
      <c r="R52" s="21" t="s">
        <v>11</v>
      </c>
      <c r="S52" s="16" t="s">
        <v>665</v>
      </c>
      <c r="T52" s="16" t="s">
        <v>369</v>
      </c>
      <c r="U52" s="22" t="n">
        <v>0</v>
      </c>
      <c r="V52" s="16" t="s">
        <v>667</v>
      </c>
    </row>
    <row r="53" customFormat="false" ht="15" hidden="false" customHeight="false" outlineLevel="0" collapsed="false">
      <c r="A53" s="16" t="s">
        <v>198</v>
      </c>
      <c r="B53" s="16" t="s">
        <v>199</v>
      </c>
      <c r="C53" s="16" t="s">
        <v>199</v>
      </c>
      <c r="D53" s="16" t="s">
        <v>50</v>
      </c>
      <c r="E53" s="16" t="n">
        <v>18</v>
      </c>
      <c r="F53" s="16" t="s">
        <v>663</v>
      </c>
      <c r="G53" s="16" t="s">
        <v>663</v>
      </c>
      <c r="H53" s="21" t="s">
        <v>11</v>
      </c>
      <c r="I53" s="21" t="s">
        <v>11</v>
      </c>
      <c r="J53" s="21" t="s">
        <v>11</v>
      </c>
      <c r="K53" s="16" t="s">
        <v>663</v>
      </c>
      <c r="L53" s="16" t="s">
        <v>663</v>
      </c>
      <c r="M53" s="16" t="s">
        <v>663</v>
      </c>
      <c r="N53" s="21" t="s">
        <v>11</v>
      </c>
      <c r="O53" s="16" t="s">
        <v>664</v>
      </c>
      <c r="P53" s="16" t="s">
        <v>663</v>
      </c>
      <c r="Q53" s="21" t="s">
        <v>11</v>
      </c>
      <c r="R53" s="21" t="s">
        <v>11</v>
      </c>
      <c r="S53" s="16" t="s">
        <v>665</v>
      </c>
      <c r="T53" s="16" t="s">
        <v>198</v>
      </c>
      <c r="U53" s="22" t="n">
        <v>0</v>
      </c>
      <c r="V53" s="16" t="s">
        <v>666</v>
      </c>
    </row>
    <row r="54" customFormat="false" ht="15" hidden="false" customHeight="false" outlineLevel="0" collapsed="false">
      <c r="A54" s="16" t="s">
        <v>277</v>
      </c>
      <c r="B54" s="21" t="s">
        <v>11</v>
      </c>
      <c r="C54" s="21" t="s">
        <v>11</v>
      </c>
      <c r="D54" s="16" t="s">
        <v>254</v>
      </c>
      <c r="E54" s="21" t="s">
        <v>11</v>
      </c>
      <c r="F54" s="16" t="s">
        <v>663</v>
      </c>
      <c r="G54" s="16" t="s">
        <v>663</v>
      </c>
      <c r="H54" s="21" t="s">
        <v>11</v>
      </c>
      <c r="I54" s="21" t="s">
        <v>11</v>
      </c>
      <c r="J54" s="21" t="s">
        <v>11</v>
      </c>
      <c r="K54" s="16" t="s">
        <v>663</v>
      </c>
      <c r="L54" s="16" t="s">
        <v>663</v>
      </c>
      <c r="M54" s="16" t="s">
        <v>663</v>
      </c>
      <c r="N54" s="21" t="s">
        <v>11</v>
      </c>
      <c r="O54" s="16" t="s">
        <v>664</v>
      </c>
      <c r="P54" s="16" t="s">
        <v>663</v>
      </c>
      <c r="Q54" s="21" t="s">
        <v>11</v>
      </c>
      <c r="R54" s="21" t="s">
        <v>11</v>
      </c>
      <c r="S54" s="16" t="s">
        <v>665</v>
      </c>
      <c r="T54" s="16" t="s">
        <v>277</v>
      </c>
      <c r="U54" s="22" t="n">
        <v>0</v>
      </c>
      <c r="V54" s="16" t="s">
        <v>666</v>
      </c>
    </row>
    <row r="55" customFormat="false" ht="15" hidden="false" customHeight="false" outlineLevel="0" collapsed="false">
      <c r="A55" s="16" t="s">
        <v>426</v>
      </c>
      <c r="B55" s="21" t="s">
        <v>11</v>
      </c>
      <c r="C55" s="21" t="s">
        <v>11</v>
      </c>
      <c r="D55" s="16" t="s">
        <v>398</v>
      </c>
      <c r="E55" s="21" t="s">
        <v>11</v>
      </c>
      <c r="F55" s="16" t="s">
        <v>663</v>
      </c>
      <c r="G55" s="16" t="s">
        <v>663</v>
      </c>
      <c r="H55" s="21" t="s">
        <v>11</v>
      </c>
      <c r="I55" s="21" t="s">
        <v>11</v>
      </c>
      <c r="J55" s="21" t="s">
        <v>11</v>
      </c>
      <c r="K55" s="16" t="s">
        <v>663</v>
      </c>
      <c r="L55" s="16" t="s">
        <v>663</v>
      </c>
      <c r="M55" s="16" t="s">
        <v>663</v>
      </c>
      <c r="N55" s="21" t="s">
        <v>11</v>
      </c>
      <c r="O55" s="16" t="s">
        <v>664</v>
      </c>
      <c r="P55" s="16" t="s">
        <v>663</v>
      </c>
      <c r="Q55" s="21" t="s">
        <v>11</v>
      </c>
      <c r="R55" s="21" t="s">
        <v>11</v>
      </c>
      <c r="S55" s="16" t="s">
        <v>665</v>
      </c>
      <c r="T55" s="16" t="s">
        <v>426</v>
      </c>
      <c r="U55" s="22" t="n">
        <v>0</v>
      </c>
      <c r="V55" s="16" t="s">
        <v>666</v>
      </c>
    </row>
    <row r="56" customFormat="false" ht="15" hidden="false" customHeight="false" outlineLevel="0" collapsed="false">
      <c r="A56" s="16" t="s">
        <v>371</v>
      </c>
      <c r="B56" s="16" t="s">
        <v>357</v>
      </c>
      <c r="C56" s="16" t="s">
        <v>358</v>
      </c>
      <c r="D56" s="16" t="s">
        <v>359</v>
      </c>
      <c r="E56" s="16" t="n">
        <v>18</v>
      </c>
      <c r="F56" s="16" t="s">
        <v>663</v>
      </c>
      <c r="G56" s="16" t="s">
        <v>663</v>
      </c>
      <c r="H56" s="21" t="s">
        <v>11</v>
      </c>
      <c r="I56" s="21" t="s">
        <v>11</v>
      </c>
      <c r="J56" s="21" t="s">
        <v>11</v>
      </c>
      <c r="K56" s="16" t="s">
        <v>663</v>
      </c>
      <c r="L56" s="16" t="s">
        <v>663</v>
      </c>
      <c r="M56" s="16" t="s">
        <v>663</v>
      </c>
      <c r="N56" s="21" t="s">
        <v>11</v>
      </c>
      <c r="O56" s="16" t="s">
        <v>664</v>
      </c>
      <c r="P56" s="16" t="s">
        <v>663</v>
      </c>
      <c r="Q56" s="21" t="s">
        <v>11</v>
      </c>
      <c r="R56" s="21" t="s">
        <v>11</v>
      </c>
      <c r="S56" s="16" t="s">
        <v>665</v>
      </c>
      <c r="T56" s="16" t="s">
        <v>371</v>
      </c>
      <c r="U56" s="22" t="n">
        <v>0</v>
      </c>
      <c r="V56" s="16" t="s">
        <v>667</v>
      </c>
    </row>
    <row r="57" customFormat="false" ht="15" hidden="false" customHeight="false" outlineLevel="0" collapsed="false">
      <c r="A57" s="16" t="s">
        <v>278</v>
      </c>
      <c r="B57" s="21" t="s">
        <v>11</v>
      </c>
      <c r="C57" s="21" t="s">
        <v>11</v>
      </c>
      <c r="D57" s="16" t="s">
        <v>254</v>
      </c>
      <c r="E57" s="21" t="s">
        <v>11</v>
      </c>
      <c r="F57" s="16" t="s">
        <v>663</v>
      </c>
      <c r="G57" s="16" t="s">
        <v>663</v>
      </c>
      <c r="H57" s="21" t="s">
        <v>11</v>
      </c>
      <c r="I57" s="21" t="s">
        <v>11</v>
      </c>
      <c r="J57" s="21" t="s">
        <v>11</v>
      </c>
      <c r="K57" s="16" t="s">
        <v>663</v>
      </c>
      <c r="L57" s="16" t="s">
        <v>663</v>
      </c>
      <c r="M57" s="16" t="s">
        <v>663</v>
      </c>
      <c r="N57" s="21" t="s">
        <v>11</v>
      </c>
      <c r="O57" s="16" t="s">
        <v>664</v>
      </c>
      <c r="P57" s="16" t="s">
        <v>663</v>
      </c>
      <c r="Q57" s="21" t="s">
        <v>11</v>
      </c>
      <c r="R57" s="21" t="s">
        <v>11</v>
      </c>
      <c r="S57" s="16" t="s">
        <v>665</v>
      </c>
      <c r="T57" s="16" t="s">
        <v>278</v>
      </c>
      <c r="U57" s="22" t="n">
        <v>0</v>
      </c>
      <c r="V57" s="16" t="s">
        <v>666</v>
      </c>
    </row>
    <row r="58" customFormat="false" ht="15" hidden="false" customHeight="false" outlineLevel="0" collapsed="false">
      <c r="A58" s="16" t="s">
        <v>428</v>
      </c>
      <c r="B58" s="21" t="s">
        <v>11</v>
      </c>
      <c r="C58" s="21" t="s">
        <v>11</v>
      </c>
      <c r="D58" s="16" t="s">
        <v>398</v>
      </c>
      <c r="E58" s="21" t="s">
        <v>11</v>
      </c>
      <c r="F58" s="16" t="s">
        <v>663</v>
      </c>
      <c r="G58" s="16" t="s">
        <v>663</v>
      </c>
      <c r="H58" s="21" t="s">
        <v>11</v>
      </c>
      <c r="I58" s="21" t="s">
        <v>11</v>
      </c>
      <c r="J58" s="21" t="s">
        <v>11</v>
      </c>
      <c r="K58" s="16" t="s">
        <v>663</v>
      </c>
      <c r="L58" s="16" t="s">
        <v>663</v>
      </c>
      <c r="M58" s="16" t="s">
        <v>663</v>
      </c>
      <c r="N58" s="21" t="s">
        <v>11</v>
      </c>
      <c r="O58" s="16" t="s">
        <v>664</v>
      </c>
      <c r="P58" s="16" t="s">
        <v>663</v>
      </c>
      <c r="Q58" s="21" t="s">
        <v>11</v>
      </c>
      <c r="R58" s="21" t="s">
        <v>11</v>
      </c>
      <c r="S58" s="16" t="s">
        <v>665</v>
      </c>
      <c r="T58" s="16" t="s">
        <v>428</v>
      </c>
      <c r="U58" s="22" t="n">
        <v>0</v>
      </c>
      <c r="V58" s="16" t="s">
        <v>666</v>
      </c>
    </row>
    <row r="59" customFormat="false" ht="15" hidden="false" customHeight="false" outlineLevel="0" collapsed="false">
      <c r="A59" s="16" t="s">
        <v>229</v>
      </c>
      <c r="B59" s="16" t="s">
        <v>230</v>
      </c>
      <c r="C59" s="16" t="s">
        <v>231</v>
      </c>
      <c r="D59" s="16" t="s">
        <v>232</v>
      </c>
      <c r="E59" s="21" t="s">
        <v>11</v>
      </c>
      <c r="F59" s="16" t="s">
        <v>663</v>
      </c>
      <c r="G59" s="16" t="s">
        <v>663</v>
      </c>
      <c r="H59" s="21" t="s">
        <v>11</v>
      </c>
      <c r="I59" s="21" t="s">
        <v>11</v>
      </c>
      <c r="J59" s="16" t="s">
        <v>668</v>
      </c>
      <c r="K59" s="16" t="s">
        <v>663</v>
      </c>
      <c r="L59" s="16" t="s">
        <v>663</v>
      </c>
      <c r="M59" s="16" t="s">
        <v>663</v>
      </c>
      <c r="N59" s="21" t="s">
        <v>11</v>
      </c>
      <c r="O59" s="16" t="s">
        <v>664</v>
      </c>
      <c r="P59" s="16" t="s">
        <v>663</v>
      </c>
      <c r="Q59" s="21" t="s">
        <v>11</v>
      </c>
      <c r="R59" s="21" t="s">
        <v>11</v>
      </c>
      <c r="S59" s="16" t="s">
        <v>665</v>
      </c>
      <c r="T59" s="16" t="s">
        <v>229</v>
      </c>
      <c r="U59" s="22" t="n">
        <v>0</v>
      </c>
      <c r="V59" s="16" t="s">
        <v>666</v>
      </c>
    </row>
    <row r="60" customFormat="false" ht="15" hidden="false" customHeight="false" outlineLevel="0" collapsed="false">
      <c r="A60" s="16" t="s">
        <v>338</v>
      </c>
      <c r="B60" s="21" t="s">
        <v>11</v>
      </c>
      <c r="C60" s="21" t="s">
        <v>11</v>
      </c>
      <c r="D60" s="16" t="s">
        <v>312</v>
      </c>
      <c r="E60" s="21" t="s">
        <v>11</v>
      </c>
      <c r="F60" s="16" t="s">
        <v>663</v>
      </c>
      <c r="G60" s="16" t="s">
        <v>663</v>
      </c>
      <c r="H60" s="21" t="s">
        <v>11</v>
      </c>
      <c r="I60" s="21" t="s">
        <v>11</v>
      </c>
      <c r="J60" s="21" t="s">
        <v>11</v>
      </c>
      <c r="K60" s="16" t="s">
        <v>663</v>
      </c>
      <c r="L60" s="16" t="s">
        <v>663</v>
      </c>
      <c r="M60" s="16" t="s">
        <v>663</v>
      </c>
      <c r="N60" s="21" t="s">
        <v>11</v>
      </c>
      <c r="O60" s="16" t="s">
        <v>664</v>
      </c>
      <c r="P60" s="16" t="s">
        <v>663</v>
      </c>
      <c r="Q60" s="21" t="s">
        <v>11</v>
      </c>
      <c r="R60" s="21" t="s">
        <v>11</v>
      </c>
      <c r="S60" s="16" t="s">
        <v>665</v>
      </c>
      <c r="T60" s="16" t="s">
        <v>338</v>
      </c>
      <c r="U60" s="22" t="n">
        <v>0</v>
      </c>
      <c r="V60" s="16" t="s">
        <v>666</v>
      </c>
    </row>
    <row r="61" customFormat="false" ht="15" hidden="false" customHeight="false" outlineLevel="0" collapsed="false">
      <c r="A61" s="16" t="s">
        <v>149</v>
      </c>
      <c r="B61" s="16" t="s">
        <v>145</v>
      </c>
      <c r="C61" s="16" t="s">
        <v>146</v>
      </c>
      <c r="D61" s="16" t="s">
        <v>50</v>
      </c>
      <c r="E61" s="16" t="n">
        <v>18</v>
      </c>
      <c r="F61" s="16" t="s">
        <v>663</v>
      </c>
      <c r="G61" s="16" t="s">
        <v>663</v>
      </c>
      <c r="H61" s="21" t="s">
        <v>11</v>
      </c>
      <c r="I61" s="21" t="s">
        <v>11</v>
      </c>
      <c r="J61" s="21" t="s">
        <v>11</v>
      </c>
      <c r="K61" s="16" t="s">
        <v>663</v>
      </c>
      <c r="L61" s="16" t="s">
        <v>663</v>
      </c>
      <c r="M61" s="16" t="s">
        <v>663</v>
      </c>
      <c r="N61" s="21" t="s">
        <v>11</v>
      </c>
      <c r="O61" s="16" t="s">
        <v>664</v>
      </c>
      <c r="P61" s="16" t="s">
        <v>663</v>
      </c>
      <c r="Q61" s="21" t="s">
        <v>11</v>
      </c>
      <c r="R61" s="21" t="s">
        <v>11</v>
      </c>
      <c r="S61" s="16" t="s">
        <v>665</v>
      </c>
      <c r="T61" s="16" t="s">
        <v>149</v>
      </c>
      <c r="U61" s="22" t="n">
        <v>0</v>
      </c>
      <c r="V61" s="16" t="s">
        <v>666</v>
      </c>
    </row>
    <row r="62" customFormat="false" ht="15" hidden="false" customHeight="false" outlineLevel="0" collapsed="false">
      <c r="A62" s="16" t="s">
        <v>141</v>
      </c>
      <c r="B62" s="16" t="s">
        <v>142</v>
      </c>
      <c r="C62" s="16" t="s">
        <v>143</v>
      </c>
      <c r="D62" s="16" t="s">
        <v>50</v>
      </c>
      <c r="E62" s="16" t="n">
        <v>18</v>
      </c>
      <c r="F62" s="16" t="s">
        <v>663</v>
      </c>
      <c r="G62" s="16" t="s">
        <v>663</v>
      </c>
      <c r="H62" s="21" t="s">
        <v>11</v>
      </c>
      <c r="I62" s="21" t="s">
        <v>11</v>
      </c>
      <c r="J62" s="21" t="s">
        <v>11</v>
      </c>
      <c r="K62" s="16" t="s">
        <v>663</v>
      </c>
      <c r="L62" s="16" t="s">
        <v>663</v>
      </c>
      <c r="M62" s="16" t="s">
        <v>663</v>
      </c>
      <c r="N62" s="21" t="s">
        <v>11</v>
      </c>
      <c r="O62" s="16" t="s">
        <v>664</v>
      </c>
      <c r="P62" s="16" t="s">
        <v>663</v>
      </c>
      <c r="Q62" s="21" t="s">
        <v>11</v>
      </c>
      <c r="R62" s="21" t="s">
        <v>11</v>
      </c>
      <c r="S62" s="16" t="s">
        <v>665</v>
      </c>
      <c r="T62" s="16" t="s">
        <v>141</v>
      </c>
      <c r="U62" s="22" t="n">
        <v>0</v>
      </c>
      <c r="V62" s="16" t="s">
        <v>666</v>
      </c>
    </row>
    <row r="63" customFormat="false" ht="15" hidden="false" customHeight="false" outlineLevel="0" collapsed="false">
      <c r="A63" s="16" t="s">
        <v>431</v>
      </c>
      <c r="B63" s="21" t="s">
        <v>11</v>
      </c>
      <c r="C63" s="21" t="s">
        <v>11</v>
      </c>
      <c r="D63" s="16" t="s">
        <v>398</v>
      </c>
      <c r="E63" s="21" t="s">
        <v>11</v>
      </c>
      <c r="F63" s="16" t="s">
        <v>663</v>
      </c>
      <c r="G63" s="16" t="s">
        <v>663</v>
      </c>
      <c r="H63" s="21" t="s">
        <v>11</v>
      </c>
      <c r="I63" s="21" t="s">
        <v>11</v>
      </c>
      <c r="J63" s="21" t="s">
        <v>11</v>
      </c>
      <c r="K63" s="16" t="s">
        <v>663</v>
      </c>
      <c r="L63" s="16" t="s">
        <v>663</v>
      </c>
      <c r="M63" s="16" t="s">
        <v>663</v>
      </c>
      <c r="N63" s="21" t="s">
        <v>11</v>
      </c>
      <c r="O63" s="16" t="s">
        <v>664</v>
      </c>
      <c r="P63" s="16" t="s">
        <v>663</v>
      </c>
      <c r="Q63" s="21" t="s">
        <v>11</v>
      </c>
      <c r="R63" s="21" t="s">
        <v>11</v>
      </c>
      <c r="S63" s="16" t="s">
        <v>665</v>
      </c>
      <c r="T63" s="16" t="s">
        <v>431</v>
      </c>
      <c r="U63" s="22" t="n">
        <v>0</v>
      </c>
      <c r="V63" s="16" t="s">
        <v>666</v>
      </c>
    </row>
    <row r="64" customFormat="false" ht="15" hidden="false" customHeight="false" outlineLevel="0" collapsed="false">
      <c r="A64" s="16" t="s">
        <v>208</v>
      </c>
      <c r="B64" s="16" t="s">
        <v>209</v>
      </c>
      <c r="C64" s="16" t="s">
        <v>210</v>
      </c>
      <c r="D64" s="16" t="s">
        <v>50</v>
      </c>
      <c r="E64" s="16" t="n">
        <v>18</v>
      </c>
      <c r="F64" s="16" t="s">
        <v>663</v>
      </c>
      <c r="G64" s="16" t="s">
        <v>663</v>
      </c>
      <c r="H64" s="21" t="s">
        <v>11</v>
      </c>
      <c r="I64" s="21" t="s">
        <v>11</v>
      </c>
      <c r="J64" s="21" t="s">
        <v>11</v>
      </c>
      <c r="K64" s="16" t="s">
        <v>663</v>
      </c>
      <c r="L64" s="16" t="s">
        <v>663</v>
      </c>
      <c r="M64" s="16" t="s">
        <v>663</v>
      </c>
      <c r="N64" s="21" t="s">
        <v>11</v>
      </c>
      <c r="O64" s="16" t="s">
        <v>664</v>
      </c>
      <c r="P64" s="16" t="s">
        <v>663</v>
      </c>
      <c r="Q64" s="21" t="s">
        <v>11</v>
      </c>
      <c r="R64" s="21" t="s">
        <v>11</v>
      </c>
      <c r="S64" s="16" t="s">
        <v>665</v>
      </c>
      <c r="T64" s="16" t="s">
        <v>208</v>
      </c>
      <c r="U64" s="22" t="n">
        <v>0</v>
      </c>
      <c r="V64" s="16" t="s">
        <v>666</v>
      </c>
    </row>
    <row r="65" customFormat="false" ht="15" hidden="false" customHeight="false" outlineLevel="0" collapsed="false">
      <c r="A65" s="16" t="s">
        <v>317</v>
      </c>
      <c r="B65" s="16" t="s">
        <v>216</v>
      </c>
      <c r="C65" s="16" t="s">
        <v>311</v>
      </c>
      <c r="D65" s="16" t="s">
        <v>312</v>
      </c>
      <c r="E65" s="16" t="n">
        <v>18</v>
      </c>
      <c r="F65" s="16" t="s">
        <v>663</v>
      </c>
      <c r="G65" s="16" t="s">
        <v>663</v>
      </c>
      <c r="H65" s="21" t="s">
        <v>11</v>
      </c>
      <c r="I65" s="21" t="s">
        <v>11</v>
      </c>
      <c r="J65" s="21" t="s">
        <v>11</v>
      </c>
      <c r="K65" s="16" t="s">
        <v>663</v>
      </c>
      <c r="L65" s="16" t="s">
        <v>663</v>
      </c>
      <c r="M65" s="16" t="s">
        <v>663</v>
      </c>
      <c r="N65" s="21" t="s">
        <v>11</v>
      </c>
      <c r="O65" s="16" t="s">
        <v>664</v>
      </c>
      <c r="P65" s="16" t="s">
        <v>663</v>
      </c>
      <c r="Q65" s="21" t="s">
        <v>11</v>
      </c>
      <c r="R65" s="21" t="s">
        <v>11</v>
      </c>
      <c r="S65" s="16" t="s">
        <v>665</v>
      </c>
      <c r="T65" s="16" t="s">
        <v>317</v>
      </c>
      <c r="U65" s="22" t="n">
        <v>0</v>
      </c>
      <c r="V65" s="16" t="s">
        <v>666</v>
      </c>
    </row>
    <row r="66" customFormat="false" ht="15" hidden="false" customHeight="false" outlineLevel="0" collapsed="false">
      <c r="A66" s="16" t="s">
        <v>181</v>
      </c>
      <c r="B66" s="16" t="s">
        <v>182</v>
      </c>
      <c r="C66" s="16" t="s">
        <v>183</v>
      </c>
      <c r="D66" s="16" t="s">
        <v>50</v>
      </c>
      <c r="E66" s="16" t="n">
        <v>18</v>
      </c>
      <c r="F66" s="16" t="s">
        <v>663</v>
      </c>
      <c r="G66" s="16" t="s">
        <v>663</v>
      </c>
      <c r="H66" s="21" t="s">
        <v>11</v>
      </c>
      <c r="I66" s="21" t="s">
        <v>11</v>
      </c>
      <c r="J66" s="21" t="s">
        <v>11</v>
      </c>
      <c r="K66" s="16" t="s">
        <v>663</v>
      </c>
      <c r="L66" s="16" t="s">
        <v>663</v>
      </c>
      <c r="M66" s="16" t="s">
        <v>663</v>
      </c>
      <c r="N66" s="21" t="s">
        <v>11</v>
      </c>
      <c r="O66" s="16" t="s">
        <v>664</v>
      </c>
      <c r="P66" s="16" t="s">
        <v>663</v>
      </c>
      <c r="Q66" s="21" t="s">
        <v>11</v>
      </c>
      <c r="R66" s="21" t="s">
        <v>11</v>
      </c>
      <c r="S66" s="16" t="s">
        <v>665</v>
      </c>
      <c r="T66" s="16" t="s">
        <v>181</v>
      </c>
      <c r="U66" s="22" t="n">
        <v>0</v>
      </c>
      <c r="V66" s="16" t="s">
        <v>666</v>
      </c>
    </row>
    <row r="67" customFormat="false" ht="15" hidden="false" customHeight="false" outlineLevel="0" collapsed="false">
      <c r="A67" s="16" t="s">
        <v>104</v>
      </c>
      <c r="B67" s="16" t="s">
        <v>97</v>
      </c>
      <c r="C67" s="16" t="s">
        <v>98</v>
      </c>
      <c r="D67" s="16" t="s">
        <v>50</v>
      </c>
      <c r="E67" s="16" t="n">
        <v>18</v>
      </c>
      <c r="F67" s="16" t="s">
        <v>663</v>
      </c>
      <c r="G67" s="16" t="s">
        <v>663</v>
      </c>
      <c r="H67" s="21" t="s">
        <v>11</v>
      </c>
      <c r="I67" s="21" t="s">
        <v>11</v>
      </c>
      <c r="J67" s="21" t="s">
        <v>11</v>
      </c>
      <c r="K67" s="16" t="s">
        <v>663</v>
      </c>
      <c r="L67" s="16" t="s">
        <v>663</v>
      </c>
      <c r="M67" s="16" t="s">
        <v>663</v>
      </c>
      <c r="N67" s="21" t="s">
        <v>11</v>
      </c>
      <c r="O67" s="16" t="s">
        <v>664</v>
      </c>
      <c r="P67" s="16" t="s">
        <v>663</v>
      </c>
      <c r="Q67" s="21" t="s">
        <v>11</v>
      </c>
      <c r="R67" s="21" t="s">
        <v>11</v>
      </c>
      <c r="S67" s="16" t="s">
        <v>665</v>
      </c>
      <c r="T67" s="16" t="s">
        <v>104</v>
      </c>
      <c r="U67" s="22" t="n">
        <v>0</v>
      </c>
      <c r="V67" s="16" t="s">
        <v>666</v>
      </c>
    </row>
    <row r="68" customFormat="false" ht="15" hidden="false" customHeight="false" outlineLevel="0" collapsed="false">
      <c r="A68" s="16" t="s">
        <v>78</v>
      </c>
      <c r="B68" s="16" t="s">
        <v>79</v>
      </c>
      <c r="C68" s="16" t="s">
        <v>80</v>
      </c>
      <c r="D68" s="16" t="s">
        <v>50</v>
      </c>
      <c r="E68" s="16" t="n">
        <v>18</v>
      </c>
      <c r="F68" s="16" t="s">
        <v>663</v>
      </c>
      <c r="G68" s="16" t="s">
        <v>663</v>
      </c>
      <c r="H68" s="21" t="s">
        <v>11</v>
      </c>
      <c r="I68" s="21" t="s">
        <v>11</v>
      </c>
      <c r="J68" s="21" t="s">
        <v>11</v>
      </c>
      <c r="K68" s="16" t="s">
        <v>663</v>
      </c>
      <c r="L68" s="16" t="s">
        <v>663</v>
      </c>
      <c r="M68" s="16" t="s">
        <v>663</v>
      </c>
      <c r="N68" s="21" t="s">
        <v>11</v>
      </c>
      <c r="O68" s="16" t="s">
        <v>664</v>
      </c>
      <c r="P68" s="16" t="s">
        <v>663</v>
      </c>
      <c r="Q68" s="21" t="s">
        <v>11</v>
      </c>
      <c r="R68" s="21" t="s">
        <v>11</v>
      </c>
      <c r="S68" s="16" t="s">
        <v>665</v>
      </c>
      <c r="T68" s="16" t="s">
        <v>78</v>
      </c>
      <c r="U68" s="22" t="n">
        <v>0</v>
      </c>
      <c r="V68" s="16" t="s">
        <v>666</v>
      </c>
    </row>
    <row r="69" customFormat="false" ht="15" hidden="false" customHeight="false" outlineLevel="0" collapsed="false">
      <c r="A69" s="16" t="s">
        <v>434</v>
      </c>
      <c r="B69" s="21" t="s">
        <v>11</v>
      </c>
      <c r="C69" s="21" t="s">
        <v>11</v>
      </c>
      <c r="D69" s="16" t="s">
        <v>398</v>
      </c>
      <c r="E69" s="21" t="s">
        <v>11</v>
      </c>
      <c r="F69" s="16" t="s">
        <v>663</v>
      </c>
      <c r="G69" s="16" t="s">
        <v>663</v>
      </c>
      <c r="H69" s="21" t="s">
        <v>11</v>
      </c>
      <c r="I69" s="21" t="s">
        <v>11</v>
      </c>
      <c r="J69" s="21" t="s">
        <v>11</v>
      </c>
      <c r="K69" s="16" t="s">
        <v>663</v>
      </c>
      <c r="L69" s="16" t="s">
        <v>663</v>
      </c>
      <c r="M69" s="16" t="s">
        <v>663</v>
      </c>
      <c r="N69" s="21" t="s">
        <v>11</v>
      </c>
      <c r="O69" s="16" t="s">
        <v>664</v>
      </c>
      <c r="P69" s="16" t="s">
        <v>663</v>
      </c>
      <c r="Q69" s="21" t="s">
        <v>11</v>
      </c>
      <c r="R69" s="21" t="s">
        <v>11</v>
      </c>
      <c r="S69" s="16" t="s">
        <v>665</v>
      </c>
      <c r="T69" s="16" t="s">
        <v>434</v>
      </c>
      <c r="U69" s="22" t="n">
        <v>0</v>
      </c>
      <c r="V69" s="16" t="s">
        <v>666</v>
      </c>
    </row>
    <row r="70" customFormat="false" ht="15" hidden="false" customHeight="false" outlineLevel="0" collapsed="false">
      <c r="A70" s="16" t="s">
        <v>186</v>
      </c>
      <c r="B70" s="16" t="s">
        <v>175</v>
      </c>
      <c r="C70" s="16" t="s">
        <v>187</v>
      </c>
      <c r="D70" s="16" t="s">
        <v>50</v>
      </c>
      <c r="E70" s="16" t="n">
        <v>18</v>
      </c>
      <c r="F70" s="16" t="s">
        <v>663</v>
      </c>
      <c r="G70" s="16" t="s">
        <v>663</v>
      </c>
      <c r="H70" s="21" t="s">
        <v>11</v>
      </c>
      <c r="I70" s="21" t="s">
        <v>11</v>
      </c>
      <c r="J70" s="21" t="s">
        <v>11</v>
      </c>
      <c r="K70" s="16" t="s">
        <v>663</v>
      </c>
      <c r="L70" s="16" t="s">
        <v>663</v>
      </c>
      <c r="M70" s="16" t="s">
        <v>663</v>
      </c>
      <c r="N70" s="21" t="s">
        <v>11</v>
      </c>
      <c r="O70" s="16" t="s">
        <v>664</v>
      </c>
      <c r="P70" s="16" t="s">
        <v>663</v>
      </c>
      <c r="Q70" s="21" t="s">
        <v>11</v>
      </c>
      <c r="R70" s="21" t="s">
        <v>11</v>
      </c>
      <c r="S70" s="16" t="s">
        <v>665</v>
      </c>
      <c r="T70" s="16" t="s">
        <v>186</v>
      </c>
      <c r="U70" s="22" t="n">
        <v>0</v>
      </c>
      <c r="V70" s="16" t="s">
        <v>666</v>
      </c>
    </row>
    <row r="71" customFormat="false" ht="15" hidden="false" customHeight="false" outlineLevel="0" collapsed="false">
      <c r="A71" s="16" t="s">
        <v>123</v>
      </c>
      <c r="B71" s="16" t="s">
        <v>117</v>
      </c>
      <c r="C71" s="16" t="s">
        <v>110</v>
      </c>
      <c r="D71" s="16" t="s">
        <v>50</v>
      </c>
      <c r="E71" s="16" t="n">
        <v>18</v>
      </c>
      <c r="F71" s="16" t="s">
        <v>663</v>
      </c>
      <c r="G71" s="16" t="s">
        <v>663</v>
      </c>
      <c r="H71" s="21" t="s">
        <v>11</v>
      </c>
      <c r="I71" s="21" t="s">
        <v>11</v>
      </c>
      <c r="J71" s="21" t="s">
        <v>11</v>
      </c>
      <c r="K71" s="16" t="s">
        <v>663</v>
      </c>
      <c r="L71" s="16" t="s">
        <v>663</v>
      </c>
      <c r="M71" s="16" t="s">
        <v>663</v>
      </c>
      <c r="N71" s="21" t="s">
        <v>11</v>
      </c>
      <c r="O71" s="16" t="s">
        <v>664</v>
      </c>
      <c r="P71" s="16" t="s">
        <v>663</v>
      </c>
      <c r="Q71" s="21" t="s">
        <v>11</v>
      </c>
      <c r="R71" s="21" t="s">
        <v>11</v>
      </c>
      <c r="S71" s="16" t="s">
        <v>665</v>
      </c>
      <c r="T71" s="16" t="s">
        <v>123</v>
      </c>
      <c r="U71" s="22" t="n">
        <v>0</v>
      </c>
      <c r="V71" s="16" t="s">
        <v>666</v>
      </c>
    </row>
    <row r="72" customFormat="false" ht="15" hidden="false" customHeight="false" outlineLevel="0" collapsed="false">
      <c r="A72" s="16" t="s">
        <v>89</v>
      </c>
      <c r="B72" s="16" t="s">
        <v>90</v>
      </c>
      <c r="C72" s="16" t="s">
        <v>91</v>
      </c>
      <c r="D72" s="16" t="s">
        <v>50</v>
      </c>
      <c r="E72" s="16" t="n">
        <v>18</v>
      </c>
      <c r="F72" s="16" t="s">
        <v>663</v>
      </c>
      <c r="G72" s="16" t="s">
        <v>663</v>
      </c>
      <c r="H72" s="21" t="s">
        <v>11</v>
      </c>
      <c r="I72" s="21" t="s">
        <v>11</v>
      </c>
      <c r="J72" s="21" t="s">
        <v>11</v>
      </c>
      <c r="K72" s="16" t="s">
        <v>663</v>
      </c>
      <c r="L72" s="16" t="s">
        <v>663</v>
      </c>
      <c r="M72" s="16" t="s">
        <v>663</v>
      </c>
      <c r="N72" s="21" t="s">
        <v>11</v>
      </c>
      <c r="O72" s="16" t="s">
        <v>664</v>
      </c>
      <c r="P72" s="16" t="s">
        <v>663</v>
      </c>
      <c r="Q72" s="21" t="s">
        <v>11</v>
      </c>
      <c r="R72" s="21" t="s">
        <v>11</v>
      </c>
      <c r="S72" s="16" t="s">
        <v>665</v>
      </c>
      <c r="T72" s="16" t="s">
        <v>89</v>
      </c>
      <c r="U72" s="22" t="n">
        <v>0</v>
      </c>
      <c r="V72" s="16" t="s">
        <v>666</v>
      </c>
    </row>
    <row r="73" customFormat="false" ht="15" hidden="false" customHeight="false" outlineLevel="0" collapsed="false">
      <c r="A73" s="16" t="s">
        <v>124</v>
      </c>
      <c r="B73" s="16" t="s">
        <v>117</v>
      </c>
      <c r="C73" s="16" t="s">
        <v>110</v>
      </c>
      <c r="D73" s="16" t="s">
        <v>50</v>
      </c>
      <c r="E73" s="16" t="n">
        <v>18</v>
      </c>
      <c r="F73" s="16" t="s">
        <v>663</v>
      </c>
      <c r="G73" s="16" t="s">
        <v>663</v>
      </c>
      <c r="H73" s="21" t="s">
        <v>11</v>
      </c>
      <c r="I73" s="21" t="s">
        <v>11</v>
      </c>
      <c r="J73" s="21" t="s">
        <v>11</v>
      </c>
      <c r="K73" s="16" t="s">
        <v>663</v>
      </c>
      <c r="L73" s="16" t="s">
        <v>663</v>
      </c>
      <c r="M73" s="16" t="s">
        <v>663</v>
      </c>
      <c r="N73" s="21" t="s">
        <v>11</v>
      </c>
      <c r="O73" s="16" t="s">
        <v>664</v>
      </c>
      <c r="P73" s="16" t="s">
        <v>663</v>
      </c>
      <c r="Q73" s="21" t="s">
        <v>11</v>
      </c>
      <c r="R73" s="21" t="s">
        <v>11</v>
      </c>
      <c r="S73" s="16" t="s">
        <v>665</v>
      </c>
      <c r="T73" s="16" t="s">
        <v>124</v>
      </c>
      <c r="U73" s="22" t="n">
        <v>0</v>
      </c>
      <c r="V73" s="16" t="s">
        <v>666</v>
      </c>
    </row>
    <row r="74" customFormat="false" ht="15" hidden="false" customHeight="false" outlineLevel="0" collapsed="false">
      <c r="A74" s="16" t="s">
        <v>279</v>
      </c>
      <c r="B74" s="21" t="s">
        <v>11</v>
      </c>
      <c r="C74" s="21" t="s">
        <v>11</v>
      </c>
      <c r="D74" s="16" t="s">
        <v>254</v>
      </c>
      <c r="E74" s="21" t="s">
        <v>11</v>
      </c>
      <c r="F74" s="16" t="s">
        <v>663</v>
      </c>
      <c r="G74" s="16" t="s">
        <v>663</v>
      </c>
      <c r="H74" s="21" t="s">
        <v>11</v>
      </c>
      <c r="I74" s="21" t="s">
        <v>11</v>
      </c>
      <c r="J74" s="21" t="s">
        <v>11</v>
      </c>
      <c r="K74" s="16" t="s">
        <v>663</v>
      </c>
      <c r="L74" s="16" t="s">
        <v>663</v>
      </c>
      <c r="M74" s="16" t="s">
        <v>663</v>
      </c>
      <c r="N74" s="21" t="s">
        <v>11</v>
      </c>
      <c r="O74" s="16" t="s">
        <v>664</v>
      </c>
      <c r="P74" s="16" t="s">
        <v>663</v>
      </c>
      <c r="Q74" s="21" t="s">
        <v>11</v>
      </c>
      <c r="R74" s="21" t="s">
        <v>11</v>
      </c>
      <c r="S74" s="16" t="s">
        <v>665</v>
      </c>
      <c r="T74" s="16" t="s">
        <v>279</v>
      </c>
      <c r="U74" s="22" t="n">
        <v>0</v>
      </c>
      <c r="V74" s="16" t="s">
        <v>666</v>
      </c>
    </row>
    <row r="75" customFormat="false" ht="15" hidden="false" customHeight="false" outlineLevel="0" collapsed="false">
      <c r="A75" s="16" t="s">
        <v>134</v>
      </c>
      <c r="B75" s="16" t="s">
        <v>135</v>
      </c>
      <c r="C75" s="16" t="s">
        <v>136</v>
      </c>
      <c r="D75" s="16" t="s">
        <v>50</v>
      </c>
      <c r="E75" s="16" t="n">
        <v>18</v>
      </c>
      <c r="F75" s="16" t="s">
        <v>663</v>
      </c>
      <c r="G75" s="16" t="s">
        <v>663</v>
      </c>
      <c r="H75" s="21" t="s">
        <v>11</v>
      </c>
      <c r="I75" s="21" t="s">
        <v>11</v>
      </c>
      <c r="J75" s="21" t="s">
        <v>11</v>
      </c>
      <c r="K75" s="16" t="s">
        <v>663</v>
      </c>
      <c r="L75" s="16" t="s">
        <v>663</v>
      </c>
      <c r="M75" s="16" t="s">
        <v>663</v>
      </c>
      <c r="N75" s="21" t="s">
        <v>11</v>
      </c>
      <c r="O75" s="16" t="s">
        <v>664</v>
      </c>
      <c r="P75" s="16" t="s">
        <v>663</v>
      </c>
      <c r="Q75" s="21" t="s">
        <v>11</v>
      </c>
      <c r="R75" s="21" t="s">
        <v>11</v>
      </c>
      <c r="S75" s="16" t="s">
        <v>665</v>
      </c>
      <c r="T75" s="16" t="s">
        <v>134</v>
      </c>
      <c r="U75" s="22" t="n">
        <v>0</v>
      </c>
      <c r="V75" s="16" t="s">
        <v>666</v>
      </c>
    </row>
    <row r="76" customFormat="false" ht="15" hidden="false" customHeight="false" outlineLevel="0" collapsed="false">
      <c r="A76" s="16" t="s">
        <v>190</v>
      </c>
      <c r="B76" s="16" t="s">
        <v>175</v>
      </c>
      <c r="C76" s="16" t="s">
        <v>187</v>
      </c>
      <c r="D76" s="16" t="s">
        <v>50</v>
      </c>
      <c r="E76" s="16" t="n">
        <v>18</v>
      </c>
      <c r="F76" s="16" t="s">
        <v>663</v>
      </c>
      <c r="G76" s="16" t="s">
        <v>663</v>
      </c>
      <c r="H76" s="21" t="s">
        <v>11</v>
      </c>
      <c r="I76" s="21" t="s">
        <v>11</v>
      </c>
      <c r="J76" s="21" t="s">
        <v>11</v>
      </c>
      <c r="K76" s="16" t="s">
        <v>663</v>
      </c>
      <c r="L76" s="16" t="s">
        <v>663</v>
      </c>
      <c r="M76" s="16" t="s">
        <v>663</v>
      </c>
      <c r="N76" s="21" t="s">
        <v>11</v>
      </c>
      <c r="O76" s="16" t="s">
        <v>664</v>
      </c>
      <c r="P76" s="16" t="s">
        <v>663</v>
      </c>
      <c r="Q76" s="21" t="s">
        <v>11</v>
      </c>
      <c r="R76" s="21" t="s">
        <v>11</v>
      </c>
      <c r="S76" s="16" t="s">
        <v>665</v>
      </c>
      <c r="T76" s="16" t="s">
        <v>190</v>
      </c>
      <c r="U76" s="22" t="n">
        <v>0</v>
      </c>
      <c r="V76" s="16" t="s">
        <v>666</v>
      </c>
    </row>
    <row r="77" customFormat="false" ht="15" hidden="false" customHeight="false" outlineLevel="0" collapsed="false">
      <c r="A77" s="16" t="s">
        <v>174</v>
      </c>
      <c r="B77" s="16" t="s">
        <v>175</v>
      </c>
      <c r="C77" s="16" t="s">
        <v>176</v>
      </c>
      <c r="D77" s="16" t="s">
        <v>50</v>
      </c>
      <c r="E77" s="16" t="n">
        <v>18</v>
      </c>
      <c r="F77" s="16" t="s">
        <v>663</v>
      </c>
      <c r="G77" s="16" t="s">
        <v>663</v>
      </c>
      <c r="H77" s="21" t="s">
        <v>11</v>
      </c>
      <c r="I77" s="21" t="s">
        <v>11</v>
      </c>
      <c r="J77" s="21" t="s">
        <v>11</v>
      </c>
      <c r="K77" s="16" t="s">
        <v>663</v>
      </c>
      <c r="L77" s="16" t="s">
        <v>663</v>
      </c>
      <c r="M77" s="16" t="s">
        <v>663</v>
      </c>
      <c r="N77" s="21" t="s">
        <v>11</v>
      </c>
      <c r="O77" s="16" t="s">
        <v>664</v>
      </c>
      <c r="P77" s="16" t="s">
        <v>663</v>
      </c>
      <c r="Q77" s="21" t="s">
        <v>11</v>
      </c>
      <c r="R77" s="21" t="s">
        <v>11</v>
      </c>
      <c r="S77" s="16" t="s">
        <v>665</v>
      </c>
      <c r="T77" s="16" t="s">
        <v>174</v>
      </c>
      <c r="U77" s="22" t="n">
        <v>0</v>
      </c>
      <c r="V77" s="16" t="s">
        <v>666</v>
      </c>
    </row>
    <row r="78" customFormat="false" ht="15" hidden="false" customHeight="false" outlineLevel="0" collapsed="false">
      <c r="A78" s="16" t="s">
        <v>437</v>
      </c>
      <c r="B78" s="21" t="s">
        <v>11</v>
      </c>
      <c r="C78" s="21" t="s">
        <v>11</v>
      </c>
      <c r="D78" s="16" t="s">
        <v>398</v>
      </c>
      <c r="E78" s="21" t="s">
        <v>11</v>
      </c>
      <c r="F78" s="16" t="s">
        <v>663</v>
      </c>
      <c r="G78" s="16" t="s">
        <v>663</v>
      </c>
      <c r="H78" s="21" t="s">
        <v>11</v>
      </c>
      <c r="I78" s="21" t="s">
        <v>11</v>
      </c>
      <c r="J78" s="21" t="s">
        <v>11</v>
      </c>
      <c r="K78" s="16" t="s">
        <v>663</v>
      </c>
      <c r="L78" s="16" t="s">
        <v>663</v>
      </c>
      <c r="M78" s="16" t="s">
        <v>663</v>
      </c>
      <c r="N78" s="21" t="s">
        <v>11</v>
      </c>
      <c r="O78" s="16" t="s">
        <v>664</v>
      </c>
      <c r="P78" s="16" t="s">
        <v>663</v>
      </c>
      <c r="Q78" s="21" t="s">
        <v>11</v>
      </c>
      <c r="R78" s="21" t="s">
        <v>11</v>
      </c>
      <c r="S78" s="16" t="s">
        <v>665</v>
      </c>
      <c r="T78" s="16" t="s">
        <v>437</v>
      </c>
      <c r="U78" s="22" t="n">
        <v>0</v>
      </c>
      <c r="V78" s="16" t="s">
        <v>666</v>
      </c>
    </row>
    <row r="79" customFormat="false" ht="15" hidden="false" customHeight="false" outlineLevel="0" collapsed="false">
      <c r="A79" s="16" t="s">
        <v>213</v>
      </c>
      <c r="B79" s="16" t="s">
        <v>209</v>
      </c>
      <c r="C79" s="16" t="s">
        <v>210</v>
      </c>
      <c r="D79" s="16" t="s">
        <v>50</v>
      </c>
      <c r="E79" s="16" t="n">
        <v>18</v>
      </c>
      <c r="F79" s="16" t="s">
        <v>663</v>
      </c>
      <c r="G79" s="16" t="s">
        <v>663</v>
      </c>
      <c r="H79" s="21" t="s">
        <v>11</v>
      </c>
      <c r="I79" s="21" t="s">
        <v>11</v>
      </c>
      <c r="J79" s="21" t="s">
        <v>11</v>
      </c>
      <c r="K79" s="16" t="s">
        <v>663</v>
      </c>
      <c r="L79" s="16" t="s">
        <v>663</v>
      </c>
      <c r="M79" s="16" t="s">
        <v>663</v>
      </c>
      <c r="N79" s="21" t="s">
        <v>11</v>
      </c>
      <c r="O79" s="16" t="s">
        <v>664</v>
      </c>
      <c r="P79" s="16" t="s">
        <v>663</v>
      </c>
      <c r="Q79" s="21" t="s">
        <v>11</v>
      </c>
      <c r="R79" s="21" t="s">
        <v>11</v>
      </c>
      <c r="S79" s="16" t="s">
        <v>665</v>
      </c>
      <c r="T79" s="16" t="s">
        <v>213</v>
      </c>
      <c r="U79" s="22" t="n">
        <v>0</v>
      </c>
      <c r="V79" s="16" t="s">
        <v>666</v>
      </c>
    </row>
    <row r="80" customFormat="false" ht="15" hidden="false" customHeight="false" outlineLevel="0" collapsed="false">
      <c r="A80" s="16" t="s">
        <v>340</v>
      </c>
      <c r="B80" s="21" t="s">
        <v>11</v>
      </c>
      <c r="C80" s="21" t="s">
        <v>11</v>
      </c>
      <c r="D80" s="16" t="s">
        <v>312</v>
      </c>
      <c r="E80" s="21" t="s">
        <v>11</v>
      </c>
      <c r="F80" s="16" t="s">
        <v>663</v>
      </c>
      <c r="G80" s="16" t="s">
        <v>663</v>
      </c>
      <c r="H80" s="21" t="s">
        <v>11</v>
      </c>
      <c r="I80" s="21" t="s">
        <v>11</v>
      </c>
      <c r="J80" s="21" t="s">
        <v>11</v>
      </c>
      <c r="K80" s="16" t="s">
        <v>663</v>
      </c>
      <c r="L80" s="16" t="s">
        <v>663</v>
      </c>
      <c r="M80" s="16" t="s">
        <v>663</v>
      </c>
      <c r="N80" s="21" t="s">
        <v>11</v>
      </c>
      <c r="O80" s="16" t="s">
        <v>664</v>
      </c>
      <c r="P80" s="16" t="s">
        <v>663</v>
      </c>
      <c r="Q80" s="21" t="s">
        <v>11</v>
      </c>
      <c r="R80" s="21" t="s">
        <v>11</v>
      </c>
      <c r="S80" s="16" t="s">
        <v>665</v>
      </c>
      <c r="T80" s="16" t="s">
        <v>340</v>
      </c>
      <c r="U80" s="22" t="n">
        <v>0</v>
      </c>
      <c r="V80" s="16" t="s">
        <v>666</v>
      </c>
    </row>
    <row r="81" customFormat="false" ht="15" hidden="false" customHeight="false" outlineLevel="0" collapsed="false">
      <c r="A81" s="16" t="s">
        <v>139</v>
      </c>
      <c r="B81" s="16" t="s">
        <v>135</v>
      </c>
      <c r="C81" s="16" t="s">
        <v>136</v>
      </c>
      <c r="D81" s="16" t="s">
        <v>50</v>
      </c>
      <c r="E81" s="16" t="n">
        <v>18</v>
      </c>
      <c r="F81" s="16" t="s">
        <v>663</v>
      </c>
      <c r="G81" s="16" t="s">
        <v>663</v>
      </c>
      <c r="H81" s="21" t="s">
        <v>11</v>
      </c>
      <c r="I81" s="21" t="s">
        <v>11</v>
      </c>
      <c r="J81" s="21" t="s">
        <v>11</v>
      </c>
      <c r="K81" s="16" t="s">
        <v>663</v>
      </c>
      <c r="L81" s="16" t="s">
        <v>663</v>
      </c>
      <c r="M81" s="16" t="s">
        <v>663</v>
      </c>
      <c r="N81" s="21" t="s">
        <v>11</v>
      </c>
      <c r="O81" s="16" t="s">
        <v>664</v>
      </c>
      <c r="P81" s="16" t="s">
        <v>663</v>
      </c>
      <c r="Q81" s="21" t="s">
        <v>11</v>
      </c>
      <c r="R81" s="21" t="s">
        <v>11</v>
      </c>
      <c r="S81" s="16" t="s">
        <v>665</v>
      </c>
      <c r="T81" s="16" t="s">
        <v>139</v>
      </c>
      <c r="U81" s="22" t="n">
        <v>0</v>
      </c>
      <c r="V81" s="16" t="s">
        <v>666</v>
      </c>
    </row>
    <row r="82" customFormat="false" ht="15" hidden="false" customHeight="false" outlineLevel="0" collapsed="false">
      <c r="A82" s="16" t="s">
        <v>215</v>
      </c>
      <c r="B82" s="16" t="s">
        <v>216</v>
      </c>
      <c r="C82" s="16" t="s">
        <v>217</v>
      </c>
      <c r="D82" s="16" t="s">
        <v>218</v>
      </c>
      <c r="E82" s="16" t="n">
        <v>18</v>
      </c>
      <c r="F82" s="16" t="s">
        <v>663</v>
      </c>
      <c r="G82" s="16" t="s">
        <v>663</v>
      </c>
      <c r="H82" s="21" t="s">
        <v>11</v>
      </c>
      <c r="I82" s="21" t="s">
        <v>11</v>
      </c>
      <c r="J82" s="21" t="s">
        <v>11</v>
      </c>
      <c r="K82" s="16" t="s">
        <v>663</v>
      </c>
      <c r="L82" s="16" t="s">
        <v>663</v>
      </c>
      <c r="M82" s="16" t="s">
        <v>663</v>
      </c>
      <c r="N82" s="21" t="s">
        <v>11</v>
      </c>
      <c r="O82" s="16" t="s">
        <v>664</v>
      </c>
      <c r="P82" s="16" t="s">
        <v>663</v>
      </c>
      <c r="Q82" s="21" t="s">
        <v>11</v>
      </c>
      <c r="R82" s="21" t="s">
        <v>11</v>
      </c>
      <c r="S82" s="16" t="s">
        <v>665</v>
      </c>
      <c r="T82" s="16" t="s">
        <v>215</v>
      </c>
      <c r="U82" s="22" t="n">
        <v>0</v>
      </c>
      <c r="V82" s="16" t="s">
        <v>666</v>
      </c>
    </row>
    <row r="83" customFormat="false" ht="15" hidden="false" customHeight="false" outlineLevel="0" collapsed="false">
      <c r="A83" s="16" t="s">
        <v>342</v>
      </c>
      <c r="B83" s="21" t="s">
        <v>11</v>
      </c>
      <c r="C83" s="21" t="s">
        <v>11</v>
      </c>
      <c r="D83" s="16" t="s">
        <v>312</v>
      </c>
      <c r="E83" s="21" t="s">
        <v>11</v>
      </c>
      <c r="F83" s="16" t="s">
        <v>663</v>
      </c>
      <c r="G83" s="16" t="s">
        <v>663</v>
      </c>
      <c r="H83" s="21" t="s">
        <v>11</v>
      </c>
      <c r="I83" s="21" t="s">
        <v>11</v>
      </c>
      <c r="J83" s="21" t="s">
        <v>11</v>
      </c>
      <c r="K83" s="16" t="s">
        <v>663</v>
      </c>
      <c r="L83" s="16" t="s">
        <v>663</v>
      </c>
      <c r="M83" s="16" t="s">
        <v>663</v>
      </c>
      <c r="N83" s="21" t="s">
        <v>11</v>
      </c>
      <c r="O83" s="16" t="s">
        <v>664</v>
      </c>
      <c r="P83" s="16" t="s">
        <v>663</v>
      </c>
      <c r="Q83" s="21" t="s">
        <v>11</v>
      </c>
      <c r="R83" s="21" t="s">
        <v>11</v>
      </c>
      <c r="S83" s="16" t="s">
        <v>665</v>
      </c>
      <c r="T83" s="16" t="s">
        <v>342</v>
      </c>
      <c r="U83" s="22" t="n">
        <v>0</v>
      </c>
      <c r="V83" s="16" t="s">
        <v>666</v>
      </c>
    </row>
    <row r="84" customFormat="false" ht="15" hidden="false" customHeight="false" outlineLevel="0" collapsed="false">
      <c r="A84" s="16" t="s">
        <v>343</v>
      </c>
      <c r="B84" s="21" t="s">
        <v>11</v>
      </c>
      <c r="C84" s="21" t="s">
        <v>11</v>
      </c>
      <c r="D84" s="16" t="s">
        <v>312</v>
      </c>
      <c r="E84" s="21" t="s">
        <v>11</v>
      </c>
      <c r="F84" s="16" t="s">
        <v>663</v>
      </c>
      <c r="G84" s="16" t="s">
        <v>663</v>
      </c>
      <c r="H84" s="21" t="s">
        <v>11</v>
      </c>
      <c r="I84" s="21" t="s">
        <v>11</v>
      </c>
      <c r="J84" s="21" t="s">
        <v>11</v>
      </c>
      <c r="K84" s="16" t="s">
        <v>663</v>
      </c>
      <c r="L84" s="16" t="s">
        <v>663</v>
      </c>
      <c r="M84" s="16" t="s">
        <v>663</v>
      </c>
      <c r="N84" s="21" t="s">
        <v>11</v>
      </c>
      <c r="O84" s="16" t="s">
        <v>664</v>
      </c>
      <c r="P84" s="16" t="s">
        <v>663</v>
      </c>
      <c r="Q84" s="21" t="s">
        <v>11</v>
      </c>
      <c r="R84" s="21" t="s">
        <v>11</v>
      </c>
      <c r="S84" s="16" t="s">
        <v>665</v>
      </c>
      <c r="T84" s="16" t="s">
        <v>343</v>
      </c>
      <c r="U84" s="22" t="n">
        <v>0</v>
      </c>
      <c r="V84" s="16" t="s">
        <v>666</v>
      </c>
    </row>
    <row r="85" customFormat="false" ht="15" hidden="false" customHeight="false" outlineLevel="0" collapsed="false">
      <c r="A85" s="16" t="s">
        <v>373</v>
      </c>
      <c r="B85" s="16" t="s">
        <v>357</v>
      </c>
      <c r="C85" s="16" t="s">
        <v>358</v>
      </c>
      <c r="D85" s="16" t="s">
        <v>359</v>
      </c>
      <c r="E85" s="16" t="n">
        <v>18</v>
      </c>
      <c r="F85" s="16" t="s">
        <v>663</v>
      </c>
      <c r="G85" s="16" t="s">
        <v>663</v>
      </c>
      <c r="H85" s="21" t="s">
        <v>11</v>
      </c>
      <c r="I85" s="21" t="s">
        <v>11</v>
      </c>
      <c r="J85" s="21" t="s">
        <v>11</v>
      </c>
      <c r="K85" s="16" t="s">
        <v>663</v>
      </c>
      <c r="L85" s="16" t="s">
        <v>663</v>
      </c>
      <c r="M85" s="16" t="s">
        <v>663</v>
      </c>
      <c r="N85" s="21" t="s">
        <v>11</v>
      </c>
      <c r="O85" s="16" t="s">
        <v>664</v>
      </c>
      <c r="P85" s="16" t="s">
        <v>663</v>
      </c>
      <c r="Q85" s="21" t="s">
        <v>11</v>
      </c>
      <c r="R85" s="21" t="s">
        <v>11</v>
      </c>
      <c r="S85" s="16" t="s">
        <v>665</v>
      </c>
      <c r="T85" s="16" t="s">
        <v>373</v>
      </c>
      <c r="U85" s="22" t="n">
        <v>0</v>
      </c>
      <c r="V85" s="16" t="s">
        <v>667</v>
      </c>
    </row>
    <row r="86" customFormat="false" ht="15" hidden="false" customHeight="false" outlineLevel="0" collapsed="false">
      <c r="A86" s="16" t="s">
        <v>280</v>
      </c>
      <c r="B86" s="21" t="s">
        <v>11</v>
      </c>
      <c r="C86" s="21" t="s">
        <v>11</v>
      </c>
      <c r="D86" s="16" t="s">
        <v>254</v>
      </c>
      <c r="E86" s="21" t="s">
        <v>11</v>
      </c>
      <c r="F86" s="16" t="s">
        <v>663</v>
      </c>
      <c r="G86" s="16" t="s">
        <v>663</v>
      </c>
      <c r="H86" s="21" t="s">
        <v>11</v>
      </c>
      <c r="I86" s="21" t="s">
        <v>11</v>
      </c>
      <c r="J86" s="21" t="s">
        <v>11</v>
      </c>
      <c r="K86" s="16" t="s">
        <v>663</v>
      </c>
      <c r="L86" s="16" t="s">
        <v>663</v>
      </c>
      <c r="M86" s="16" t="s">
        <v>663</v>
      </c>
      <c r="N86" s="21" t="s">
        <v>11</v>
      </c>
      <c r="O86" s="16" t="s">
        <v>664</v>
      </c>
      <c r="P86" s="16" t="s">
        <v>663</v>
      </c>
      <c r="Q86" s="21" t="s">
        <v>11</v>
      </c>
      <c r="R86" s="21" t="s">
        <v>11</v>
      </c>
      <c r="S86" s="16" t="s">
        <v>665</v>
      </c>
      <c r="T86" s="16" t="s">
        <v>280</v>
      </c>
      <c r="U86" s="22" t="n">
        <v>0</v>
      </c>
      <c r="V86" s="16" t="s">
        <v>666</v>
      </c>
    </row>
    <row r="87" customFormat="false" ht="15" hidden="false" customHeight="false" outlineLevel="0" collapsed="false">
      <c r="A87" s="16" t="s">
        <v>281</v>
      </c>
      <c r="B87" s="21" t="s">
        <v>11</v>
      </c>
      <c r="C87" s="21" t="s">
        <v>11</v>
      </c>
      <c r="D87" s="16" t="s">
        <v>254</v>
      </c>
      <c r="E87" s="21" t="s">
        <v>11</v>
      </c>
      <c r="F87" s="16" t="s">
        <v>663</v>
      </c>
      <c r="G87" s="16" t="s">
        <v>663</v>
      </c>
      <c r="H87" s="21" t="s">
        <v>11</v>
      </c>
      <c r="I87" s="21" t="s">
        <v>11</v>
      </c>
      <c r="J87" s="21" t="s">
        <v>11</v>
      </c>
      <c r="K87" s="16" t="s">
        <v>663</v>
      </c>
      <c r="L87" s="16" t="s">
        <v>663</v>
      </c>
      <c r="M87" s="16" t="s">
        <v>663</v>
      </c>
      <c r="N87" s="21" t="s">
        <v>11</v>
      </c>
      <c r="O87" s="16" t="s">
        <v>664</v>
      </c>
      <c r="P87" s="16" t="s">
        <v>663</v>
      </c>
      <c r="Q87" s="21" t="s">
        <v>11</v>
      </c>
      <c r="R87" s="21" t="s">
        <v>11</v>
      </c>
      <c r="S87" s="16" t="s">
        <v>665</v>
      </c>
      <c r="T87" s="16" t="s">
        <v>281</v>
      </c>
      <c r="U87" s="22" t="n">
        <v>0</v>
      </c>
      <c r="V87" s="16" t="s">
        <v>666</v>
      </c>
    </row>
    <row r="88" customFormat="false" ht="15" hidden="false" customHeight="false" outlineLevel="0" collapsed="false">
      <c r="A88" s="16" t="s">
        <v>375</v>
      </c>
      <c r="B88" s="16" t="s">
        <v>357</v>
      </c>
      <c r="C88" s="16" t="s">
        <v>358</v>
      </c>
      <c r="D88" s="16" t="s">
        <v>359</v>
      </c>
      <c r="E88" s="16" t="n">
        <v>18</v>
      </c>
      <c r="F88" s="16" t="s">
        <v>663</v>
      </c>
      <c r="G88" s="16" t="s">
        <v>663</v>
      </c>
      <c r="H88" s="21" t="s">
        <v>11</v>
      </c>
      <c r="I88" s="21" t="s">
        <v>11</v>
      </c>
      <c r="J88" s="21" t="s">
        <v>11</v>
      </c>
      <c r="K88" s="16" t="s">
        <v>663</v>
      </c>
      <c r="L88" s="16" t="s">
        <v>663</v>
      </c>
      <c r="M88" s="16" t="s">
        <v>663</v>
      </c>
      <c r="N88" s="21" t="s">
        <v>11</v>
      </c>
      <c r="O88" s="16" t="s">
        <v>664</v>
      </c>
      <c r="P88" s="16" t="s">
        <v>663</v>
      </c>
      <c r="Q88" s="21" t="s">
        <v>11</v>
      </c>
      <c r="R88" s="21" t="s">
        <v>11</v>
      </c>
      <c r="S88" s="16" t="s">
        <v>665</v>
      </c>
      <c r="T88" s="16" t="s">
        <v>375</v>
      </c>
      <c r="U88" s="22" t="n">
        <v>0</v>
      </c>
      <c r="V88" s="16" t="s">
        <v>667</v>
      </c>
    </row>
    <row r="89" customFormat="false" ht="15" hidden="false" customHeight="false" outlineLevel="0" collapsed="false">
      <c r="A89" s="16" t="s">
        <v>377</v>
      </c>
      <c r="B89" s="16" t="s">
        <v>357</v>
      </c>
      <c r="C89" s="16" t="s">
        <v>358</v>
      </c>
      <c r="D89" s="16" t="s">
        <v>359</v>
      </c>
      <c r="E89" s="16" t="n">
        <v>18</v>
      </c>
      <c r="F89" s="16" t="s">
        <v>663</v>
      </c>
      <c r="G89" s="16" t="s">
        <v>663</v>
      </c>
      <c r="H89" s="21" t="s">
        <v>11</v>
      </c>
      <c r="I89" s="21" t="s">
        <v>11</v>
      </c>
      <c r="J89" s="21" t="s">
        <v>11</v>
      </c>
      <c r="K89" s="16" t="s">
        <v>663</v>
      </c>
      <c r="L89" s="16" t="s">
        <v>663</v>
      </c>
      <c r="M89" s="16" t="s">
        <v>663</v>
      </c>
      <c r="N89" s="21" t="s">
        <v>11</v>
      </c>
      <c r="O89" s="16" t="s">
        <v>664</v>
      </c>
      <c r="P89" s="16" t="s">
        <v>663</v>
      </c>
      <c r="Q89" s="21" t="s">
        <v>11</v>
      </c>
      <c r="R89" s="21" t="s">
        <v>11</v>
      </c>
      <c r="S89" s="16" t="s">
        <v>665</v>
      </c>
      <c r="T89" s="16" t="s">
        <v>377</v>
      </c>
      <c r="U89" s="22" t="n">
        <v>0</v>
      </c>
      <c r="V89" s="16" t="s">
        <v>667</v>
      </c>
    </row>
    <row r="90" customFormat="false" ht="15" hidden="false" customHeight="false" outlineLevel="0" collapsed="false">
      <c r="A90" s="16" t="s">
        <v>379</v>
      </c>
      <c r="B90" s="16" t="s">
        <v>357</v>
      </c>
      <c r="C90" s="16" t="s">
        <v>358</v>
      </c>
      <c r="D90" s="16" t="s">
        <v>359</v>
      </c>
      <c r="E90" s="16" t="n">
        <v>18</v>
      </c>
      <c r="F90" s="16" t="s">
        <v>663</v>
      </c>
      <c r="G90" s="16" t="s">
        <v>663</v>
      </c>
      <c r="H90" s="21" t="s">
        <v>11</v>
      </c>
      <c r="I90" s="21" t="s">
        <v>11</v>
      </c>
      <c r="J90" s="21" t="s">
        <v>11</v>
      </c>
      <c r="K90" s="16" t="s">
        <v>663</v>
      </c>
      <c r="L90" s="16" t="s">
        <v>663</v>
      </c>
      <c r="M90" s="16" t="s">
        <v>663</v>
      </c>
      <c r="N90" s="21" t="s">
        <v>11</v>
      </c>
      <c r="O90" s="16" t="s">
        <v>664</v>
      </c>
      <c r="P90" s="16" t="s">
        <v>663</v>
      </c>
      <c r="Q90" s="21" t="s">
        <v>11</v>
      </c>
      <c r="R90" s="21" t="s">
        <v>11</v>
      </c>
      <c r="S90" s="16" t="s">
        <v>665</v>
      </c>
      <c r="T90" s="16" t="s">
        <v>379</v>
      </c>
      <c r="U90" s="22" t="n">
        <v>0</v>
      </c>
      <c r="V90" s="16" t="s">
        <v>667</v>
      </c>
    </row>
    <row r="91" customFormat="false" ht="15" hidden="false" customHeight="false" outlineLevel="0" collapsed="false">
      <c r="A91" s="16" t="s">
        <v>381</v>
      </c>
      <c r="B91" s="16" t="s">
        <v>357</v>
      </c>
      <c r="C91" s="16" t="s">
        <v>358</v>
      </c>
      <c r="D91" s="16" t="s">
        <v>359</v>
      </c>
      <c r="E91" s="16" t="n">
        <v>18</v>
      </c>
      <c r="F91" s="16" t="s">
        <v>663</v>
      </c>
      <c r="G91" s="16" t="s">
        <v>663</v>
      </c>
      <c r="H91" s="21" t="s">
        <v>11</v>
      </c>
      <c r="I91" s="21" t="s">
        <v>11</v>
      </c>
      <c r="J91" s="21" t="s">
        <v>11</v>
      </c>
      <c r="K91" s="16" t="s">
        <v>663</v>
      </c>
      <c r="L91" s="16" t="s">
        <v>663</v>
      </c>
      <c r="M91" s="16" t="s">
        <v>663</v>
      </c>
      <c r="N91" s="21" t="s">
        <v>11</v>
      </c>
      <c r="O91" s="16" t="s">
        <v>664</v>
      </c>
      <c r="P91" s="16" t="s">
        <v>663</v>
      </c>
      <c r="Q91" s="21" t="s">
        <v>11</v>
      </c>
      <c r="R91" s="21" t="s">
        <v>11</v>
      </c>
      <c r="S91" s="16" t="s">
        <v>665</v>
      </c>
      <c r="T91" s="16" t="s">
        <v>381</v>
      </c>
      <c r="U91" s="22" t="n">
        <v>0</v>
      </c>
      <c r="V91" s="16" t="s">
        <v>667</v>
      </c>
    </row>
    <row r="92" customFormat="false" ht="15" hidden="false" customHeight="false" outlineLevel="0" collapsed="false">
      <c r="A92" s="16" t="s">
        <v>224</v>
      </c>
      <c r="B92" s="16" t="s">
        <v>216</v>
      </c>
      <c r="C92" s="16" t="s">
        <v>217</v>
      </c>
      <c r="D92" s="16" t="s">
        <v>218</v>
      </c>
      <c r="E92" s="16" t="n">
        <v>18</v>
      </c>
      <c r="F92" s="16" t="s">
        <v>663</v>
      </c>
      <c r="G92" s="16" t="s">
        <v>663</v>
      </c>
      <c r="H92" s="21" t="s">
        <v>11</v>
      </c>
      <c r="I92" s="21" t="s">
        <v>11</v>
      </c>
      <c r="J92" s="21" t="s">
        <v>11</v>
      </c>
      <c r="K92" s="16" t="s">
        <v>663</v>
      </c>
      <c r="L92" s="16" t="s">
        <v>663</v>
      </c>
      <c r="M92" s="16" t="s">
        <v>663</v>
      </c>
      <c r="N92" s="21" t="s">
        <v>11</v>
      </c>
      <c r="O92" s="16" t="s">
        <v>664</v>
      </c>
      <c r="P92" s="16" t="s">
        <v>663</v>
      </c>
      <c r="Q92" s="21" t="s">
        <v>11</v>
      </c>
      <c r="R92" s="21" t="s">
        <v>11</v>
      </c>
      <c r="S92" s="16" t="s">
        <v>665</v>
      </c>
      <c r="T92" s="16" t="s">
        <v>224</v>
      </c>
      <c r="U92" s="22" t="n">
        <v>0</v>
      </c>
      <c r="V92" s="16" t="s">
        <v>666</v>
      </c>
    </row>
    <row r="93" customFormat="false" ht="15" hidden="false" customHeight="false" outlineLevel="0" collapsed="false">
      <c r="A93" s="16" t="s">
        <v>125</v>
      </c>
      <c r="B93" s="16" t="s">
        <v>117</v>
      </c>
      <c r="C93" s="16" t="s">
        <v>110</v>
      </c>
      <c r="D93" s="16" t="s">
        <v>50</v>
      </c>
      <c r="E93" s="16" t="n">
        <v>18</v>
      </c>
      <c r="F93" s="16" t="s">
        <v>663</v>
      </c>
      <c r="G93" s="16" t="s">
        <v>663</v>
      </c>
      <c r="H93" s="21" t="s">
        <v>11</v>
      </c>
      <c r="I93" s="21" t="s">
        <v>11</v>
      </c>
      <c r="J93" s="21" t="s">
        <v>11</v>
      </c>
      <c r="K93" s="16" t="s">
        <v>663</v>
      </c>
      <c r="L93" s="16" t="s">
        <v>663</v>
      </c>
      <c r="M93" s="16" t="s">
        <v>663</v>
      </c>
      <c r="N93" s="21" t="s">
        <v>11</v>
      </c>
      <c r="O93" s="16" t="s">
        <v>664</v>
      </c>
      <c r="P93" s="16" t="s">
        <v>663</v>
      </c>
      <c r="Q93" s="21" t="s">
        <v>11</v>
      </c>
      <c r="R93" s="21" t="s">
        <v>11</v>
      </c>
      <c r="S93" s="16" t="s">
        <v>665</v>
      </c>
      <c r="T93" s="16" t="s">
        <v>125</v>
      </c>
      <c r="U93" s="22" t="n">
        <v>0</v>
      </c>
      <c r="V93" s="16" t="s">
        <v>666</v>
      </c>
    </row>
    <row r="94" customFormat="false" ht="15" hidden="false" customHeight="false" outlineLevel="0" collapsed="false">
      <c r="A94" s="16" t="s">
        <v>440</v>
      </c>
      <c r="B94" s="21" t="s">
        <v>11</v>
      </c>
      <c r="C94" s="21" t="s">
        <v>11</v>
      </c>
      <c r="D94" s="16" t="s">
        <v>398</v>
      </c>
      <c r="E94" s="21" t="s">
        <v>11</v>
      </c>
      <c r="F94" s="16" t="s">
        <v>663</v>
      </c>
      <c r="G94" s="16" t="s">
        <v>663</v>
      </c>
      <c r="H94" s="21" t="s">
        <v>11</v>
      </c>
      <c r="I94" s="21" t="s">
        <v>11</v>
      </c>
      <c r="J94" s="21" t="s">
        <v>11</v>
      </c>
      <c r="K94" s="16" t="s">
        <v>663</v>
      </c>
      <c r="L94" s="16" t="s">
        <v>663</v>
      </c>
      <c r="M94" s="16" t="s">
        <v>663</v>
      </c>
      <c r="N94" s="21" t="s">
        <v>11</v>
      </c>
      <c r="O94" s="16" t="s">
        <v>664</v>
      </c>
      <c r="P94" s="16" t="s">
        <v>663</v>
      </c>
      <c r="Q94" s="21" t="s">
        <v>11</v>
      </c>
      <c r="R94" s="21" t="s">
        <v>11</v>
      </c>
      <c r="S94" s="16" t="s">
        <v>665</v>
      </c>
      <c r="T94" s="16" t="s">
        <v>440</v>
      </c>
      <c r="U94" s="22" t="n">
        <v>0</v>
      </c>
      <c r="V94" s="16" t="s">
        <v>666</v>
      </c>
    </row>
    <row r="95" customFormat="false" ht="15" hidden="false" customHeight="false" outlineLevel="0" collapsed="false">
      <c r="A95" s="16" t="s">
        <v>157</v>
      </c>
      <c r="B95" s="16" t="s">
        <v>158</v>
      </c>
      <c r="C95" s="16" t="s">
        <v>158</v>
      </c>
      <c r="D95" s="16" t="s">
        <v>50</v>
      </c>
      <c r="E95" s="16" t="n">
        <v>18</v>
      </c>
      <c r="F95" s="16" t="s">
        <v>663</v>
      </c>
      <c r="G95" s="16" t="s">
        <v>663</v>
      </c>
      <c r="H95" s="21" t="s">
        <v>11</v>
      </c>
      <c r="I95" s="21" t="s">
        <v>11</v>
      </c>
      <c r="J95" s="21" t="s">
        <v>11</v>
      </c>
      <c r="K95" s="16" t="s">
        <v>663</v>
      </c>
      <c r="L95" s="16" t="s">
        <v>663</v>
      </c>
      <c r="M95" s="16" t="s">
        <v>663</v>
      </c>
      <c r="N95" s="21" t="s">
        <v>11</v>
      </c>
      <c r="O95" s="16" t="s">
        <v>664</v>
      </c>
      <c r="P95" s="16" t="s">
        <v>663</v>
      </c>
      <c r="Q95" s="21" t="s">
        <v>11</v>
      </c>
      <c r="R95" s="21" t="s">
        <v>11</v>
      </c>
      <c r="S95" s="16" t="s">
        <v>665</v>
      </c>
      <c r="T95" s="16" t="s">
        <v>157</v>
      </c>
      <c r="U95" s="22" t="n">
        <v>0</v>
      </c>
      <c r="V95" s="16" t="s">
        <v>666</v>
      </c>
    </row>
    <row r="96" customFormat="false" ht="15" hidden="false" customHeight="false" outlineLevel="0" collapsed="false">
      <c r="A96" s="16" t="s">
        <v>383</v>
      </c>
      <c r="B96" s="16" t="s">
        <v>357</v>
      </c>
      <c r="C96" s="16" t="s">
        <v>358</v>
      </c>
      <c r="D96" s="16" t="s">
        <v>359</v>
      </c>
      <c r="E96" s="16" t="n">
        <v>18</v>
      </c>
      <c r="F96" s="16" t="s">
        <v>663</v>
      </c>
      <c r="G96" s="16" t="s">
        <v>663</v>
      </c>
      <c r="H96" s="21" t="s">
        <v>11</v>
      </c>
      <c r="I96" s="21" t="s">
        <v>11</v>
      </c>
      <c r="J96" s="21" t="s">
        <v>11</v>
      </c>
      <c r="K96" s="16" t="s">
        <v>663</v>
      </c>
      <c r="L96" s="16" t="s">
        <v>663</v>
      </c>
      <c r="M96" s="16" t="s">
        <v>663</v>
      </c>
      <c r="N96" s="21" t="s">
        <v>11</v>
      </c>
      <c r="O96" s="16" t="s">
        <v>664</v>
      </c>
      <c r="P96" s="16" t="s">
        <v>663</v>
      </c>
      <c r="Q96" s="21" t="s">
        <v>11</v>
      </c>
      <c r="R96" s="21" t="s">
        <v>11</v>
      </c>
      <c r="S96" s="16" t="s">
        <v>665</v>
      </c>
      <c r="T96" s="16" t="s">
        <v>383</v>
      </c>
      <c r="U96" s="22" t="n">
        <v>0</v>
      </c>
      <c r="V96" s="16" t="s">
        <v>667</v>
      </c>
    </row>
    <row r="97" customFormat="false" ht="15" hidden="false" customHeight="false" outlineLevel="0" collapsed="false">
      <c r="A97" s="16" t="s">
        <v>443</v>
      </c>
      <c r="B97" s="21" t="s">
        <v>11</v>
      </c>
      <c r="C97" s="21" t="s">
        <v>11</v>
      </c>
      <c r="D97" s="16" t="s">
        <v>398</v>
      </c>
      <c r="E97" s="21" t="s">
        <v>11</v>
      </c>
      <c r="F97" s="16" t="s">
        <v>663</v>
      </c>
      <c r="G97" s="16" t="s">
        <v>663</v>
      </c>
      <c r="H97" s="21" t="s">
        <v>11</v>
      </c>
      <c r="I97" s="21" t="s">
        <v>11</v>
      </c>
      <c r="J97" s="21" t="s">
        <v>11</v>
      </c>
      <c r="K97" s="16" t="s">
        <v>663</v>
      </c>
      <c r="L97" s="16" t="s">
        <v>663</v>
      </c>
      <c r="M97" s="16" t="s">
        <v>663</v>
      </c>
      <c r="N97" s="21" t="s">
        <v>11</v>
      </c>
      <c r="O97" s="16" t="s">
        <v>664</v>
      </c>
      <c r="P97" s="16" t="s">
        <v>663</v>
      </c>
      <c r="Q97" s="21" t="s">
        <v>11</v>
      </c>
      <c r="R97" s="21" t="s">
        <v>11</v>
      </c>
      <c r="S97" s="16" t="s">
        <v>665</v>
      </c>
      <c r="T97" s="16" t="s">
        <v>443</v>
      </c>
      <c r="U97" s="22" t="n">
        <v>0</v>
      </c>
      <c r="V97" s="16" t="s">
        <v>666</v>
      </c>
    </row>
    <row r="98" customFormat="false" ht="15" hidden="false" customHeight="false" outlineLevel="0" collapsed="false">
      <c r="A98" s="16" t="s">
        <v>61</v>
      </c>
      <c r="B98" s="16" t="s">
        <v>62</v>
      </c>
      <c r="C98" s="16" t="s">
        <v>49</v>
      </c>
      <c r="D98" s="16" t="s">
        <v>50</v>
      </c>
      <c r="E98" s="16" t="n">
        <v>18</v>
      </c>
      <c r="F98" s="16" t="s">
        <v>663</v>
      </c>
      <c r="G98" s="16" t="s">
        <v>663</v>
      </c>
      <c r="H98" s="21" t="s">
        <v>11</v>
      </c>
      <c r="I98" s="21" t="s">
        <v>11</v>
      </c>
      <c r="J98" s="21" t="s">
        <v>11</v>
      </c>
      <c r="K98" s="16" t="s">
        <v>663</v>
      </c>
      <c r="L98" s="16" t="s">
        <v>663</v>
      </c>
      <c r="M98" s="16" t="s">
        <v>663</v>
      </c>
      <c r="N98" s="21" t="s">
        <v>11</v>
      </c>
      <c r="O98" s="16" t="s">
        <v>664</v>
      </c>
      <c r="P98" s="16" t="s">
        <v>663</v>
      </c>
      <c r="Q98" s="21" t="s">
        <v>11</v>
      </c>
      <c r="R98" s="21" t="s">
        <v>11</v>
      </c>
      <c r="S98" s="16" t="s">
        <v>665</v>
      </c>
      <c r="T98" s="16" t="s">
        <v>61</v>
      </c>
      <c r="U98" s="22" t="n">
        <v>0</v>
      </c>
      <c r="V98" s="16" t="s">
        <v>666</v>
      </c>
    </row>
    <row r="99" customFormat="false" ht="15" hidden="false" customHeight="false" outlineLevel="0" collapsed="false">
      <c r="A99" s="16" t="s">
        <v>385</v>
      </c>
      <c r="B99" s="16" t="s">
        <v>357</v>
      </c>
      <c r="C99" s="16" t="s">
        <v>358</v>
      </c>
      <c r="D99" s="16" t="s">
        <v>359</v>
      </c>
      <c r="E99" s="16" t="n">
        <v>18</v>
      </c>
      <c r="F99" s="16" t="s">
        <v>663</v>
      </c>
      <c r="G99" s="16" t="s">
        <v>663</v>
      </c>
      <c r="H99" s="21" t="s">
        <v>11</v>
      </c>
      <c r="I99" s="21" t="s">
        <v>11</v>
      </c>
      <c r="J99" s="21" t="s">
        <v>11</v>
      </c>
      <c r="K99" s="16" t="s">
        <v>663</v>
      </c>
      <c r="L99" s="16" t="s">
        <v>663</v>
      </c>
      <c r="M99" s="16" t="s">
        <v>663</v>
      </c>
      <c r="N99" s="21" t="s">
        <v>11</v>
      </c>
      <c r="O99" s="16" t="s">
        <v>664</v>
      </c>
      <c r="P99" s="16" t="s">
        <v>663</v>
      </c>
      <c r="Q99" s="21" t="s">
        <v>11</v>
      </c>
      <c r="R99" s="21" t="s">
        <v>11</v>
      </c>
      <c r="S99" s="16" t="s">
        <v>665</v>
      </c>
      <c r="T99" s="16" t="s">
        <v>385</v>
      </c>
      <c r="U99" s="22" t="n">
        <v>0</v>
      </c>
      <c r="V99" s="16" t="s">
        <v>667</v>
      </c>
    </row>
    <row r="100" customFormat="false" ht="15" hidden="false" customHeight="false" outlineLevel="0" collapsed="false">
      <c r="A100" s="16" t="s">
        <v>344</v>
      </c>
      <c r="B100" s="21" t="s">
        <v>11</v>
      </c>
      <c r="C100" s="21" t="s">
        <v>11</v>
      </c>
      <c r="D100" s="16" t="s">
        <v>312</v>
      </c>
      <c r="E100" s="21" t="s">
        <v>11</v>
      </c>
      <c r="F100" s="16" t="s">
        <v>663</v>
      </c>
      <c r="G100" s="16" t="s">
        <v>663</v>
      </c>
      <c r="H100" s="21" t="s">
        <v>11</v>
      </c>
      <c r="I100" s="21" t="s">
        <v>11</v>
      </c>
      <c r="J100" s="21" t="s">
        <v>11</v>
      </c>
      <c r="K100" s="16" t="s">
        <v>663</v>
      </c>
      <c r="L100" s="16" t="s">
        <v>663</v>
      </c>
      <c r="M100" s="16" t="s">
        <v>663</v>
      </c>
      <c r="N100" s="21" t="s">
        <v>11</v>
      </c>
      <c r="O100" s="16" t="s">
        <v>664</v>
      </c>
      <c r="P100" s="16" t="s">
        <v>663</v>
      </c>
      <c r="Q100" s="21" t="s">
        <v>11</v>
      </c>
      <c r="R100" s="21" t="s">
        <v>11</v>
      </c>
      <c r="S100" s="16" t="s">
        <v>665</v>
      </c>
      <c r="T100" s="16" t="s">
        <v>344</v>
      </c>
      <c r="U100" s="22" t="n">
        <v>0</v>
      </c>
      <c r="V100" s="16" t="s">
        <v>666</v>
      </c>
    </row>
    <row r="101" customFormat="false" ht="15" hidden="false" customHeight="false" outlineLevel="0" collapsed="false">
      <c r="A101" s="16" t="s">
        <v>126</v>
      </c>
      <c r="B101" s="16" t="s">
        <v>117</v>
      </c>
      <c r="C101" s="16" t="s">
        <v>110</v>
      </c>
      <c r="D101" s="16" t="s">
        <v>50</v>
      </c>
      <c r="E101" s="16" t="n">
        <v>18</v>
      </c>
      <c r="F101" s="16" t="s">
        <v>663</v>
      </c>
      <c r="G101" s="16" t="s">
        <v>663</v>
      </c>
      <c r="H101" s="21" t="s">
        <v>11</v>
      </c>
      <c r="I101" s="21" t="s">
        <v>11</v>
      </c>
      <c r="J101" s="21" t="s">
        <v>11</v>
      </c>
      <c r="K101" s="16" t="s">
        <v>663</v>
      </c>
      <c r="L101" s="16" t="s">
        <v>663</v>
      </c>
      <c r="M101" s="16" t="s">
        <v>663</v>
      </c>
      <c r="N101" s="21" t="s">
        <v>11</v>
      </c>
      <c r="O101" s="16" t="s">
        <v>664</v>
      </c>
      <c r="P101" s="16" t="s">
        <v>663</v>
      </c>
      <c r="Q101" s="21" t="s">
        <v>11</v>
      </c>
      <c r="R101" s="21" t="s">
        <v>11</v>
      </c>
      <c r="S101" s="16" t="s">
        <v>665</v>
      </c>
      <c r="T101" s="16" t="s">
        <v>126</v>
      </c>
      <c r="U101" s="22" t="n">
        <v>0</v>
      </c>
      <c r="V101" s="16" t="s">
        <v>666</v>
      </c>
    </row>
    <row r="102" customFormat="false" ht="15" hidden="false" customHeight="false" outlineLevel="0" collapsed="false">
      <c r="A102" s="16" t="s">
        <v>282</v>
      </c>
      <c r="B102" s="21" t="s">
        <v>11</v>
      </c>
      <c r="C102" s="21" t="s">
        <v>11</v>
      </c>
      <c r="D102" s="16" t="s">
        <v>254</v>
      </c>
      <c r="E102" s="21" t="s">
        <v>11</v>
      </c>
      <c r="F102" s="16" t="s">
        <v>663</v>
      </c>
      <c r="G102" s="16" t="s">
        <v>663</v>
      </c>
      <c r="H102" s="21" t="s">
        <v>11</v>
      </c>
      <c r="I102" s="21" t="s">
        <v>11</v>
      </c>
      <c r="J102" s="21" t="s">
        <v>11</v>
      </c>
      <c r="K102" s="16" t="s">
        <v>663</v>
      </c>
      <c r="L102" s="16" t="s">
        <v>663</v>
      </c>
      <c r="M102" s="16" t="s">
        <v>663</v>
      </c>
      <c r="N102" s="21" t="s">
        <v>11</v>
      </c>
      <c r="O102" s="16" t="s">
        <v>664</v>
      </c>
      <c r="P102" s="16" t="s">
        <v>663</v>
      </c>
      <c r="Q102" s="21" t="s">
        <v>11</v>
      </c>
      <c r="R102" s="21" t="s">
        <v>11</v>
      </c>
      <c r="S102" s="16" t="s">
        <v>665</v>
      </c>
      <c r="T102" s="16" t="s">
        <v>282</v>
      </c>
      <c r="U102" s="22" t="n">
        <v>0</v>
      </c>
      <c r="V102" s="16" t="s">
        <v>666</v>
      </c>
    </row>
    <row r="103" customFormat="false" ht="15" hidden="false" customHeight="false" outlineLevel="0" collapsed="false">
      <c r="A103" s="16" t="s">
        <v>445</v>
      </c>
      <c r="B103" s="21" t="s">
        <v>11</v>
      </c>
      <c r="C103" s="21" t="s">
        <v>11</v>
      </c>
      <c r="D103" s="16" t="s">
        <v>398</v>
      </c>
      <c r="E103" s="21" t="s">
        <v>11</v>
      </c>
      <c r="F103" s="16" t="s">
        <v>663</v>
      </c>
      <c r="G103" s="16" t="s">
        <v>663</v>
      </c>
      <c r="H103" s="21" t="s">
        <v>11</v>
      </c>
      <c r="I103" s="21" t="s">
        <v>11</v>
      </c>
      <c r="J103" s="21" t="s">
        <v>11</v>
      </c>
      <c r="K103" s="16" t="s">
        <v>663</v>
      </c>
      <c r="L103" s="16" t="s">
        <v>663</v>
      </c>
      <c r="M103" s="16" t="s">
        <v>663</v>
      </c>
      <c r="N103" s="21" t="s">
        <v>11</v>
      </c>
      <c r="O103" s="16" t="s">
        <v>664</v>
      </c>
      <c r="P103" s="16" t="s">
        <v>663</v>
      </c>
      <c r="Q103" s="21" t="s">
        <v>11</v>
      </c>
      <c r="R103" s="21" t="s">
        <v>11</v>
      </c>
      <c r="S103" s="16" t="s">
        <v>665</v>
      </c>
      <c r="T103" s="16" t="s">
        <v>445</v>
      </c>
      <c r="U103" s="22" t="n">
        <v>0</v>
      </c>
      <c r="V103" s="16" t="s">
        <v>666</v>
      </c>
    </row>
    <row r="104" customFormat="false" ht="15" hidden="false" customHeight="false" outlineLevel="0" collapsed="false">
      <c r="A104" s="16" t="s">
        <v>225</v>
      </c>
      <c r="B104" s="16" t="s">
        <v>216</v>
      </c>
      <c r="C104" s="16" t="s">
        <v>217</v>
      </c>
      <c r="D104" s="16" t="s">
        <v>218</v>
      </c>
      <c r="E104" s="16" t="n">
        <v>18</v>
      </c>
      <c r="F104" s="16" t="s">
        <v>663</v>
      </c>
      <c r="G104" s="16" t="s">
        <v>663</v>
      </c>
      <c r="H104" s="21" t="s">
        <v>11</v>
      </c>
      <c r="I104" s="21" t="s">
        <v>11</v>
      </c>
      <c r="J104" s="21" t="s">
        <v>11</v>
      </c>
      <c r="K104" s="16" t="s">
        <v>663</v>
      </c>
      <c r="L104" s="16" t="s">
        <v>663</v>
      </c>
      <c r="M104" s="16" t="s">
        <v>663</v>
      </c>
      <c r="N104" s="21" t="s">
        <v>11</v>
      </c>
      <c r="O104" s="16" t="s">
        <v>664</v>
      </c>
      <c r="P104" s="16" t="s">
        <v>663</v>
      </c>
      <c r="Q104" s="21" t="s">
        <v>11</v>
      </c>
      <c r="R104" s="21" t="s">
        <v>11</v>
      </c>
      <c r="S104" s="16" t="s">
        <v>665</v>
      </c>
      <c r="T104" s="16" t="s">
        <v>225</v>
      </c>
      <c r="U104" s="22" t="n">
        <v>0</v>
      </c>
      <c r="V104" s="16" t="s">
        <v>666</v>
      </c>
    </row>
    <row r="105" customFormat="false" ht="15" hidden="false" customHeight="false" outlineLevel="0" collapsed="false">
      <c r="A105" s="16" t="s">
        <v>448</v>
      </c>
      <c r="B105" s="21" t="s">
        <v>11</v>
      </c>
      <c r="C105" s="21" t="s">
        <v>11</v>
      </c>
      <c r="D105" s="16" t="s">
        <v>398</v>
      </c>
      <c r="E105" s="21" t="s">
        <v>11</v>
      </c>
      <c r="F105" s="16" t="s">
        <v>663</v>
      </c>
      <c r="G105" s="16" t="s">
        <v>663</v>
      </c>
      <c r="H105" s="21" t="s">
        <v>11</v>
      </c>
      <c r="I105" s="21" t="s">
        <v>11</v>
      </c>
      <c r="J105" s="21" t="s">
        <v>11</v>
      </c>
      <c r="K105" s="16" t="s">
        <v>663</v>
      </c>
      <c r="L105" s="16" t="s">
        <v>663</v>
      </c>
      <c r="M105" s="16" t="s">
        <v>663</v>
      </c>
      <c r="N105" s="21" t="s">
        <v>11</v>
      </c>
      <c r="O105" s="16" t="s">
        <v>664</v>
      </c>
      <c r="P105" s="16" t="s">
        <v>663</v>
      </c>
      <c r="Q105" s="21" t="s">
        <v>11</v>
      </c>
      <c r="R105" s="21" t="s">
        <v>11</v>
      </c>
      <c r="S105" s="16" t="s">
        <v>665</v>
      </c>
      <c r="T105" s="16" t="s">
        <v>448</v>
      </c>
      <c r="U105" s="22" t="n">
        <v>0</v>
      </c>
      <c r="V105" s="16" t="s">
        <v>666</v>
      </c>
    </row>
    <row r="106" customFormat="false" ht="15" hidden="false" customHeight="false" outlineLevel="0" collapsed="false">
      <c r="A106" s="16" t="s">
        <v>345</v>
      </c>
      <c r="B106" s="21" t="s">
        <v>11</v>
      </c>
      <c r="C106" s="21" t="s">
        <v>11</v>
      </c>
      <c r="D106" s="16" t="s">
        <v>312</v>
      </c>
      <c r="E106" s="21" t="s">
        <v>11</v>
      </c>
      <c r="F106" s="16" t="s">
        <v>663</v>
      </c>
      <c r="G106" s="16" t="s">
        <v>663</v>
      </c>
      <c r="H106" s="21" t="s">
        <v>11</v>
      </c>
      <c r="I106" s="21" t="s">
        <v>11</v>
      </c>
      <c r="J106" s="21" t="s">
        <v>11</v>
      </c>
      <c r="K106" s="16" t="s">
        <v>663</v>
      </c>
      <c r="L106" s="16" t="s">
        <v>663</v>
      </c>
      <c r="M106" s="16" t="s">
        <v>663</v>
      </c>
      <c r="N106" s="21" t="s">
        <v>11</v>
      </c>
      <c r="O106" s="16" t="s">
        <v>664</v>
      </c>
      <c r="P106" s="16" t="s">
        <v>663</v>
      </c>
      <c r="Q106" s="21" t="s">
        <v>11</v>
      </c>
      <c r="R106" s="21" t="s">
        <v>11</v>
      </c>
      <c r="S106" s="16" t="s">
        <v>665</v>
      </c>
      <c r="T106" s="16" t="s">
        <v>345</v>
      </c>
      <c r="U106" s="22" t="n">
        <v>839.166555525894</v>
      </c>
      <c r="V106" s="16" t="s">
        <v>666</v>
      </c>
    </row>
    <row r="107" customFormat="false" ht="15" hidden="false" customHeight="false" outlineLevel="0" collapsed="false">
      <c r="A107" s="16" t="s">
        <v>285</v>
      </c>
      <c r="B107" s="21" t="s">
        <v>11</v>
      </c>
      <c r="C107" s="21" t="s">
        <v>11</v>
      </c>
      <c r="D107" s="16" t="s">
        <v>254</v>
      </c>
      <c r="E107" s="21" t="s">
        <v>11</v>
      </c>
      <c r="F107" s="16" t="s">
        <v>663</v>
      </c>
      <c r="G107" s="16" t="s">
        <v>663</v>
      </c>
      <c r="H107" s="21" t="s">
        <v>11</v>
      </c>
      <c r="I107" s="21" t="s">
        <v>11</v>
      </c>
      <c r="J107" s="21" t="s">
        <v>11</v>
      </c>
      <c r="K107" s="16" t="s">
        <v>663</v>
      </c>
      <c r="L107" s="16" t="s">
        <v>663</v>
      </c>
      <c r="M107" s="16" t="s">
        <v>663</v>
      </c>
      <c r="N107" s="21" t="s">
        <v>11</v>
      </c>
      <c r="O107" s="16" t="s">
        <v>664</v>
      </c>
      <c r="P107" s="16" t="s">
        <v>663</v>
      </c>
      <c r="Q107" s="21" t="s">
        <v>11</v>
      </c>
      <c r="R107" s="21" t="s">
        <v>11</v>
      </c>
      <c r="S107" s="16" t="s">
        <v>665</v>
      </c>
      <c r="T107" s="16" t="s">
        <v>285</v>
      </c>
      <c r="U107" s="22" t="n">
        <v>0</v>
      </c>
      <c r="V107" s="16" t="s">
        <v>666</v>
      </c>
    </row>
    <row r="108" customFormat="false" ht="15" hidden="false" customHeight="false" outlineLevel="0" collapsed="false">
      <c r="A108" s="16" t="s">
        <v>286</v>
      </c>
      <c r="B108" s="21" t="s">
        <v>11</v>
      </c>
      <c r="C108" s="21" t="s">
        <v>11</v>
      </c>
      <c r="D108" s="16" t="s">
        <v>254</v>
      </c>
      <c r="E108" s="21" t="s">
        <v>11</v>
      </c>
      <c r="F108" s="16" t="s">
        <v>663</v>
      </c>
      <c r="G108" s="16" t="s">
        <v>663</v>
      </c>
      <c r="H108" s="21" t="s">
        <v>11</v>
      </c>
      <c r="I108" s="21" t="s">
        <v>11</v>
      </c>
      <c r="J108" s="21" t="s">
        <v>11</v>
      </c>
      <c r="K108" s="16" t="s">
        <v>663</v>
      </c>
      <c r="L108" s="16" t="s">
        <v>663</v>
      </c>
      <c r="M108" s="16" t="s">
        <v>663</v>
      </c>
      <c r="N108" s="21" t="s">
        <v>11</v>
      </c>
      <c r="O108" s="16" t="s">
        <v>664</v>
      </c>
      <c r="P108" s="16" t="s">
        <v>663</v>
      </c>
      <c r="Q108" s="21" t="s">
        <v>11</v>
      </c>
      <c r="R108" s="21" t="s">
        <v>11</v>
      </c>
      <c r="S108" s="16" t="s">
        <v>665</v>
      </c>
      <c r="T108" s="16" t="s">
        <v>286</v>
      </c>
      <c r="U108" s="22" t="n">
        <v>0</v>
      </c>
      <c r="V108" s="16" t="s">
        <v>666</v>
      </c>
    </row>
    <row r="109" customFormat="false" ht="15" hidden="false" customHeight="false" outlineLevel="0" collapsed="false">
      <c r="A109" s="16" t="s">
        <v>347</v>
      </c>
      <c r="B109" s="21" t="s">
        <v>11</v>
      </c>
      <c r="C109" s="21" t="s">
        <v>11</v>
      </c>
      <c r="D109" s="16" t="s">
        <v>312</v>
      </c>
      <c r="E109" s="21" t="s">
        <v>11</v>
      </c>
      <c r="F109" s="16" t="s">
        <v>663</v>
      </c>
      <c r="G109" s="16" t="s">
        <v>663</v>
      </c>
      <c r="H109" s="21" t="s">
        <v>11</v>
      </c>
      <c r="I109" s="21" t="s">
        <v>11</v>
      </c>
      <c r="J109" s="21" t="s">
        <v>11</v>
      </c>
      <c r="K109" s="16" t="s">
        <v>663</v>
      </c>
      <c r="L109" s="16" t="s">
        <v>663</v>
      </c>
      <c r="M109" s="16" t="s">
        <v>663</v>
      </c>
      <c r="N109" s="21" t="s">
        <v>11</v>
      </c>
      <c r="O109" s="16" t="s">
        <v>664</v>
      </c>
      <c r="P109" s="16" t="s">
        <v>663</v>
      </c>
      <c r="Q109" s="21" t="s">
        <v>11</v>
      </c>
      <c r="R109" s="21" t="s">
        <v>11</v>
      </c>
      <c r="S109" s="16" t="s">
        <v>665</v>
      </c>
      <c r="T109" s="16" t="s">
        <v>347</v>
      </c>
      <c r="U109" s="22" t="n">
        <v>0</v>
      </c>
      <c r="V109" s="16" t="s">
        <v>666</v>
      </c>
    </row>
    <row r="110" customFormat="false" ht="15" hidden="false" customHeight="false" outlineLevel="0" collapsed="false">
      <c r="A110" s="16" t="s">
        <v>165</v>
      </c>
      <c r="B110" s="16" t="s">
        <v>166</v>
      </c>
      <c r="C110" s="16" t="s">
        <v>167</v>
      </c>
      <c r="D110" s="16" t="s">
        <v>50</v>
      </c>
      <c r="E110" s="16" t="n">
        <v>18</v>
      </c>
      <c r="F110" s="16" t="s">
        <v>663</v>
      </c>
      <c r="G110" s="16" t="s">
        <v>663</v>
      </c>
      <c r="H110" s="21" t="s">
        <v>11</v>
      </c>
      <c r="I110" s="21" t="s">
        <v>11</v>
      </c>
      <c r="J110" s="21" t="s">
        <v>11</v>
      </c>
      <c r="K110" s="16" t="s">
        <v>663</v>
      </c>
      <c r="L110" s="16" t="s">
        <v>663</v>
      </c>
      <c r="M110" s="16" t="s">
        <v>663</v>
      </c>
      <c r="N110" s="21" t="s">
        <v>11</v>
      </c>
      <c r="O110" s="16" t="s">
        <v>664</v>
      </c>
      <c r="P110" s="16" t="s">
        <v>663</v>
      </c>
      <c r="Q110" s="21" t="s">
        <v>11</v>
      </c>
      <c r="R110" s="21" t="s">
        <v>11</v>
      </c>
      <c r="S110" s="16" t="s">
        <v>665</v>
      </c>
      <c r="T110" s="16" t="s">
        <v>165</v>
      </c>
      <c r="U110" s="22" t="n">
        <v>0</v>
      </c>
      <c r="V110" s="16" t="s">
        <v>666</v>
      </c>
    </row>
    <row r="111" customFormat="false" ht="15" hidden="false" customHeight="false" outlineLevel="0" collapsed="false">
      <c r="A111" s="16" t="s">
        <v>348</v>
      </c>
      <c r="B111" s="21" t="s">
        <v>11</v>
      </c>
      <c r="C111" s="21" t="s">
        <v>11</v>
      </c>
      <c r="D111" s="16" t="s">
        <v>312</v>
      </c>
      <c r="E111" s="21" t="s">
        <v>11</v>
      </c>
      <c r="F111" s="16" t="s">
        <v>663</v>
      </c>
      <c r="G111" s="16" t="s">
        <v>663</v>
      </c>
      <c r="H111" s="21" t="s">
        <v>11</v>
      </c>
      <c r="I111" s="21" t="s">
        <v>11</v>
      </c>
      <c r="J111" s="21" t="s">
        <v>11</v>
      </c>
      <c r="K111" s="16" t="s">
        <v>663</v>
      </c>
      <c r="L111" s="16" t="s">
        <v>663</v>
      </c>
      <c r="M111" s="16" t="s">
        <v>663</v>
      </c>
      <c r="N111" s="21" t="s">
        <v>11</v>
      </c>
      <c r="O111" s="16" t="s">
        <v>664</v>
      </c>
      <c r="P111" s="16" t="s">
        <v>663</v>
      </c>
      <c r="Q111" s="21" t="s">
        <v>11</v>
      </c>
      <c r="R111" s="21" t="s">
        <v>11</v>
      </c>
      <c r="S111" s="16" t="s">
        <v>665</v>
      </c>
      <c r="T111" s="16" t="s">
        <v>348</v>
      </c>
      <c r="U111" s="22" t="n">
        <v>0</v>
      </c>
      <c r="V111" s="16" t="s">
        <v>666</v>
      </c>
    </row>
    <row r="112" customFormat="false" ht="15" hidden="false" customHeight="false" outlineLevel="0" collapsed="false">
      <c r="A112" s="16" t="s">
        <v>288</v>
      </c>
      <c r="B112" s="21" t="s">
        <v>11</v>
      </c>
      <c r="C112" s="21" t="s">
        <v>11</v>
      </c>
      <c r="D112" s="16" t="s">
        <v>254</v>
      </c>
      <c r="E112" s="21" t="s">
        <v>11</v>
      </c>
      <c r="F112" s="16" t="s">
        <v>663</v>
      </c>
      <c r="G112" s="16" t="s">
        <v>663</v>
      </c>
      <c r="H112" s="21" t="s">
        <v>11</v>
      </c>
      <c r="I112" s="21" t="s">
        <v>11</v>
      </c>
      <c r="J112" s="21" t="s">
        <v>11</v>
      </c>
      <c r="K112" s="16" t="s">
        <v>663</v>
      </c>
      <c r="L112" s="16" t="s">
        <v>663</v>
      </c>
      <c r="M112" s="16" t="s">
        <v>663</v>
      </c>
      <c r="N112" s="21" t="s">
        <v>11</v>
      </c>
      <c r="O112" s="16" t="s">
        <v>664</v>
      </c>
      <c r="P112" s="16" t="s">
        <v>663</v>
      </c>
      <c r="Q112" s="21" t="s">
        <v>11</v>
      </c>
      <c r="R112" s="21" t="s">
        <v>11</v>
      </c>
      <c r="S112" s="16" t="s">
        <v>665</v>
      </c>
      <c r="T112" s="16" t="s">
        <v>288</v>
      </c>
      <c r="U112" s="22" t="n">
        <v>0</v>
      </c>
      <c r="V112" s="16" t="s">
        <v>666</v>
      </c>
    </row>
    <row r="113" customFormat="false" ht="15" hidden="false" customHeight="false" outlineLevel="0" collapsed="false">
      <c r="A113" s="16" t="s">
        <v>74</v>
      </c>
      <c r="B113" s="16" t="s">
        <v>75</v>
      </c>
      <c r="C113" s="16" t="s">
        <v>76</v>
      </c>
      <c r="D113" s="16" t="s">
        <v>50</v>
      </c>
      <c r="E113" s="16" t="n">
        <v>18</v>
      </c>
      <c r="F113" s="16" t="s">
        <v>663</v>
      </c>
      <c r="G113" s="16" t="s">
        <v>663</v>
      </c>
      <c r="H113" s="21" t="s">
        <v>11</v>
      </c>
      <c r="I113" s="21" t="s">
        <v>11</v>
      </c>
      <c r="J113" s="21" t="s">
        <v>11</v>
      </c>
      <c r="K113" s="16" t="s">
        <v>663</v>
      </c>
      <c r="L113" s="16" t="s">
        <v>663</v>
      </c>
      <c r="M113" s="16" t="s">
        <v>663</v>
      </c>
      <c r="N113" s="21" t="s">
        <v>11</v>
      </c>
      <c r="O113" s="16" t="s">
        <v>664</v>
      </c>
      <c r="P113" s="16" t="s">
        <v>663</v>
      </c>
      <c r="Q113" s="21" t="s">
        <v>11</v>
      </c>
      <c r="R113" s="21" t="s">
        <v>11</v>
      </c>
      <c r="S113" s="16" t="s">
        <v>665</v>
      </c>
      <c r="T113" s="16" t="s">
        <v>74</v>
      </c>
      <c r="U113" s="22" t="n">
        <v>0</v>
      </c>
      <c r="V113" s="16" t="s">
        <v>666</v>
      </c>
    </row>
    <row r="114" customFormat="false" ht="15" hidden="false" customHeight="false" outlineLevel="0" collapsed="false">
      <c r="A114" s="16" t="s">
        <v>201</v>
      </c>
      <c r="B114" s="16" t="s">
        <v>202</v>
      </c>
      <c r="C114" s="16" t="s">
        <v>203</v>
      </c>
      <c r="D114" s="16" t="s">
        <v>50</v>
      </c>
      <c r="E114" s="16" t="n">
        <v>18</v>
      </c>
      <c r="F114" s="16" t="s">
        <v>663</v>
      </c>
      <c r="G114" s="16" t="s">
        <v>663</v>
      </c>
      <c r="H114" s="21" t="s">
        <v>11</v>
      </c>
      <c r="I114" s="21" t="s">
        <v>11</v>
      </c>
      <c r="J114" s="21" t="s">
        <v>11</v>
      </c>
      <c r="K114" s="16" t="s">
        <v>663</v>
      </c>
      <c r="L114" s="16" t="s">
        <v>663</v>
      </c>
      <c r="M114" s="16" t="s">
        <v>663</v>
      </c>
      <c r="N114" s="21" t="s">
        <v>11</v>
      </c>
      <c r="O114" s="16" t="s">
        <v>664</v>
      </c>
      <c r="P114" s="16" t="s">
        <v>663</v>
      </c>
      <c r="Q114" s="21" t="s">
        <v>11</v>
      </c>
      <c r="R114" s="21" t="s">
        <v>11</v>
      </c>
      <c r="S114" s="16" t="s">
        <v>665</v>
      </c>
      <c r="T114" s="16" t="s">
        <v>201</v>
      </c>
      <c r="U114" s="22" t="n">
        <v>0</v>
      </c>
      <c r="V114" s="16" t="s">
        <v>666</v>
      </c>
    </row>
    <row r="115" customFormat="false" ht="15" hidden="false" customHeight="false" outlineLevel="0" collapsed="false">
      <c r="A115" s="16" t="s">
        <v>241</v>
      </c>
      <c r="B115" s="16" t="s">
        <v>230</v>
      </c>
      <c r="C115" s="16" t="s">
        <v>231</v>
      </c>
      <c r="D115" s="16" t="s">
        <v>232</v>
      </c>
      <c r="E115" s="21" t="s">
        <v>11</v>
      </c>
      <c r="F115" s="16" t="s">
        <v>663</v>
      </c>
      <c r="G115" s="16" t="s">
        <v>663</v>
      </c>
      <c r="H115" s="21" t="s">
        <v>11</v>
      </c>
      <c r="I115" s="21" t="s">
        <v>11</v>
      </c>
      <c r="J115" s="16" t="s">
        <v>669</v>
      </c>
      <c r="K115" s="16" t="s">
        <v>663</v>
      </c>
      <c r="L115" s="16" t="s">
        <v>663</v>
      </c>
      <c r="M115" s="16" t="s">
        <v>663</v>
      </c>
      <c r="N115" s="21" t="s">
        <v>11</v>
      </c>
      <c r="O115" s="16" t="s">
        <v>664</v>
      </c>
      <c r="P115" s="16" t="s">
        <v>663</v>
      </c>
      <c r="Q115" s="21" t="s">
        <v>11</v>
      </c>
      <c r="R115" s="21" t="s">
        <v>11</v>
      </c>
      <c r="S115" s="16" t="s">
        <v>665</v>
      </c>
      <c r="T115" s="16" t="s">
        <v>241</v>
      </c>
      <c r="U115" s="22" t="n">
        <v>8.2E-017</v>
      </c>
      <c r="V115" s="16" t="s">
        <v>666</v>
      </c>
    </row>
    <row r="116" customFormat="false" ht="15" hidden="false" customHeight="false" outlineLevel="0" collapsed="false">
      <c r="A116" s="16" t="s">
        <v>289</v>
      </c>
      <c r="B116" s="21" t="s">
        <v>11</v>
      </c>
      <c r="C116" s="21" t="s">
        <v>11</v>
      </c>
      <c r="D116" s="16" t="s">
        <v>254</v>
      </c>
      <c r="E116" s="21" t="s">
        <v>11</v>
      </c>
      <c r="F116" s="16" t="s">
        <v>663</v>
      </c>
      <c r="G116" s="16" t="s">
        <v>663</v>
      </c>
      <c r="H116" s="21" t="s">
        <v>11</v>
      </c>
      <c r="I116" s="21" t="s">
        <v>11</v>
      </c>
      <c r="J116" s="21" t="s">
        <v>11</v>
      </c>
      <c r="K116" s="16" t="s">
        <v>663</v>
      </c>
      <c r="L116" s="16" t="s">
        <v>663</v>
      </c>
      <c r="M116" s="16" t="s">
        <v>663</v>
      </c>
      <c r="N116" s="21" t="s">
        <v>11</v>
      </c>
      <c r="O116" s="16" t="s">
        <v>664</v>
      </c>
      <c r="P116" s="16" t="s">
        <v>663</v>
      </c>
      <c r="Q116" s="21" t="s">
        <v>11</v>
      </c>
      <c r="R116" s="21" t="s">
        <v>11</v>
      </c>
      <c r="S116" s="16" t="s">
        <v>665</v>
      </c>
      <c r="T116" s="16" t="s">
        <v>289</v>
      </c>
      <c r="U116" s="22" t="n">
        <v>0</v>
      </c>
      <c r="V116" s="16" t="s">
        <v>666</v>
      </c>
    </row>
    <row r="117" customFormat="false" ht="15" hidden="false" customHeight="false" outlineLevel="0" collapsed="false">
      <c r="A117" s="16" t="s">
        <v>127</v>
      </c>
      <c r="B117" s="16" t="s">
        <v>117</v>
      </c>
      <c r="C117" s="16" t="s">
        <v>110</v>
      </c>
      <c r="D117" s="16" t="s">
        <v>50</v>
      </c>
      <c r="E117" s="16" t="n">
        <v>18</v>
      </c>
      <c r="F117" s="16" t="s">
        <v>663</v>
      </c>
      <c r="G117" s="16" t="s">
        <v>663</v>
      </c>
      <c r="H117" s="21" t="s">
        <v>11</v>
      </c>
      <c r="I117" s="21" t="s">
        <v>11</v>
      </c>
      <c r="J117" s="21" t="s">
        <v>11</v>
      </c>
      <c r="K117" s="16" t="s">
        <v>663</v>
      </c>
      <c r="L117" s="16" t="s">
        <v>663</v>
      </c>
      <c r="M117" s="16" t="s">
        <v>663</v>
      </c>
      <c r="N117" s="21" t="s">
        <v>11</v>
      </c>
      <c r="O117" s="16" t="s">
        <v>664</v>
      </c>
      <c r="P117" s="16" t="s">
        <v>663</v>
      </c>
      <c r="Q117" s="21" t="s">
        <v>11</v>
      </c>
      <c r="R117" s="21" t="s">
        <v>11</v>
      </c>
      <c r="S117" s="16" t="s">
        <v>665</v>
      </c>
      <c r="T117" s="16" t="s">
        <v>127</v>
      </c>
      <c r="U117" s="22" t="n">
        <v>0</v>
      </c>
      <c r="V117" s="16" t="s">
        <v>666</v>
      </c>
    </row>
    <row r="118" customFormat="false" ht="15" hidden="false" customHeight="false" outlineLevel="0" collapsed="false">
      <c r="A118" s="16" t="s">
        <v>128</v>
      </c>
      <c r="B118" s="16" t="s">
        <v>109</v>
      </c>
      <c r="C118" s="16" t="s">
        <v>110</v>
      </c>
      <c r="D118" s="16" t="s">
        <v>50</v>
      </c>
      <c r="E118" s="16" t="n">
        <v>18</v>
      </c>
      <c r="F118" s="16" t="s">
        <v>663</v>
      </c>
      <c r="G118" s="16" t="s">
        <v>663</v>
      </c>
      <c r="H118" s="21" t="s">
        <v>11</v>
      </c>
      <c r="I118" s="21" t="s">
        <v>11</v>
      </c>
      <c r="J118" s="21" t="s">
        <v>11</v>
      </c>
      <c r="K118" s="16" t="s">
        <v>663</v>
      </c>
      <c r="L118" s="16" t="s">
        <v>663</v>
      </c>
      <c r="M118" s="16" t="s">
        <v>663</v>
      </c>
      <c r="N118" s="21" t="s">
        <v>11</v>
      </c>
      <c r="O118" s="16" t="s">
        <v>664</v>
      </c>
      <c r="P118" s="16" t="s">
        <v>663</v>
      </c>
      <c r="Q118" s="21" t="s">
        <v>11</v>
      </c>
      <c r="R118" s="21" t="s">
        <v>11</v>
      </c>
      <c r="S118" s="16" t="s">
        <v>665</v>
      </c>
      <c r="T118" s="16" t="s">
        <v>128</v>
      </c>
      <c r="U118" s="22" t="n">
        <v>0</v>
      </c>
      <c r="V118" s="16" t="s">
        <v>666</v>
      </c>
    </row>
    <row r="119" customFormat="false" ht="15" hidden="false" customHeight="false" outlineLevel="0" collapsed="false">
      <c r="A119" s="16" t="s">
        <v>130</v>
      </c>
      <c r="B119" s="16" t="s">
        <v>117</v>
      </c>
      <c r="C119" s="16" t="s">
        <v>110</v>
      </c>
      <c r="D119" s="16" t="s">
        <v>50</v>
      </c>
      <c r="E119" s="16" t="n">
        <v>18</v>
      </c>
      <c r="F119" s="16" t="s">
        <v>663</v>
      </c>
      <c r="G119" s="16" t="s">
        <v>663</v>
      </c>
      <c r="H119" s="21" t="s">
        <v>11</v>
      </c>
      <c r="I119" s="21" t="s">
        <v>11</v>
      </c>
      <c r="J119" s="21" t="s">
        <v>11</v>
      </c>
      <c r="K119" s="16" t="s">
        <v>663</v>
      </c>
      <c r="L119" s="16" t="s">
        <v>663</v>
      </c>
      <c r="M119" s="16" t="s">
        <v>663</v>
      </c>
      <c r="N119" s="21" t="s">
        <v>11</v>
      </c>
      <c r="O119" s="16" t="s">
        <v>664</v>
      </c>
      <c r="P119" s="16" t="s">
        <v>663</v>
      </c>
      <c r="Q119" s="21" t="s">
        <v>11</v>
      </c>
      <c r="R119" s="21" t="s">
        <v>11</v>
      </c>
      <c r="S119" s="16" t="s">
        <v>665</v>
      </c>
      <c r="T119" s="16" t="s">
        <v>130</v>
      </c>
      <c r="U119" s="22" t="n">
        <v>0</v>
      </c>
      <c r="V119" s="16" t="s">
        <v>666</v>
      </c>
    </row>
    <row r="120" customFormat="false" ht="15" hidden="false" customHeight="false" outlineLevel="0" collapsed="false">
      <c r="A120" s="16" t="s">
        <v>81</v>
      </c>
      <c r="B120" s="16" t="s">
        <v>82</v>
      </c>
      <c r="C120" s="16" t="s">
        <v>82</v>
      </c>
      <c r="D120" s="16" t="s">
        <v>50</v>
      </c>
      <c r="E120" s="16" t="n">
        <v>18</v>
      </c>
      <c r="F120" s="16" t="s">
        <v>663</v>
      </c>
      <c r="G120" s="16" t="s">
        <v>663</v>
      </c>
      <c r="H120" s="21" t="s">
        <v>11</v>
      </c>
      <c r="I120" s="21" t="s">
        <v>11</v>
      </c>
      <c r="J120" s="21" t="s">
        <v>11</v>
      </c>
      <c r="K120" s="16" t="s">
        <v>663</v>
      </c>
      <c r="L120" s="16" t="s">
        <v>663</v>
      </c>
      <c r="M120" s="16" t="s">
        <v>663</v>
      </c>
      <c r="N120" s="21" t="s">
        <v>11</v>
      </c>
      <c r="O120" s="16" t="s">
        <v>664</v>
      </c>
      <c r="P120" s="16" t="s">
        <v>663</v>
      </c>
      <c r="Q120" s="21" t="s">
        <v>11</v>
      </c>
      <c r="R120" s="21" t="s">
        <v>11</v>
      </c>
      <c r="S120" s="16" t="s">
        <v>665</v>
      </c>
      <c r="T120" s="16" t="s">
        <v>81</v>
      </c>
      <c r="U120" s="22" t="n">
        <v>0</v>
      </c>
      <c r="V120" s="16" t="s">
        <v>666</v>
      </c>
    </row>
    <row r="121" customFormat="false" ht="15" hidden="false" customHeight="false" outlineLevel="0" collapsed="false">
      <c r="A121" s="16" t="s">
        <v>451</v>
      </c>
      <c r="B121" s="21" t="s">
        <v>11</v>
      </c>
      <c r="C121" s="21" t="s">
        <v>11</v>
      </c>
      <c r="D121" s="16" t="s">
        <v>398</v>
      </c>
      <c r="E121" s="21" t="s">
        <v>11</v>
      </c>
      <c r="F121" s="16" t="s">
        <v>663</v>
      </c>
      <c r="G121" s="16" t="s">
        <v>663</v>
      </c>
      <c r="H121" s="21" t="s">
        <v>11</v>
      </c>
      <c r="I121" s="21" t="s">
        <v>11</v>
      </c>
      <c r="J121" s="21" t="s">
        <v>11</v>
      </c>
      <c r="K121" s="16" t="s">
        <v>663</v>
      </c>
      <c r="L121" s="16" t="s">
        <v>663</v>
      </c>
      <c r="M121" s="16" t="s">
        <v>663</v>
      </c>
      <c r="N121" s="21" t="s">
        <v>11</v>
      </c>
      <c r="O121" s="16" t="s">
        <v>664</v>
      </c>
      <c r="P121" s="16" t="s">
        <v>663</v>
      </c>
      <c r="Q121" s="21" t="s">
        <v>11</v>
      </c>
      <c r="R121" s="21" t="s">
        <v>11</v>
      </c>
      <c r="S121" s="16" t="s">
        <v>665</v>
      </c>
      <c r="T121" s="16" t="s">
        <v>451</v>
      </c>
      <c r="U121" s="22" t="n">
        <v>0</v>
      </c>
      <c r="V121" s="16" t="s">
        <v>666</v>
      </c>
    </row>
    <row r="122" customFormat="false" ht="15" hidden="false" customHeight="false" outlineLevel="0" collapsed="false">
      <c r="A122" s="16" t="s">
        <v>387</v>
      </c>
      <c r="B122" s="16" t="s">
        <v>357</v>
      </c>
      <c r="C122" s="16" t="s">
        <v>358</v>
      </c>
      <c r="D122" s="16" t="s">
        <v>359</v>
      </c>
      <c r="E122" s="16" t="n">
        <v>18</v>
      </c>
      <c r="F122" s="16" t="s">
        <v>663</v>
      </c>
      <c r="G122" s="16" t="s">
        <v>663</v>
      </c>
      <c r="H122" s="21" t="s">
        <v>11</v>
      </c>
      <c r="I122" s="21" t="s">
        <v>11</v>
      </c>
      <c r="J122" s="21" t="s">
        <v>11</v>
      </c>
      <c r="K122" s="16" t="s">
        <v>663</v>
      </c>
      <c r="L122" s="16" t="s">
        <v>663</v>
      </c>
      <c r="M122" s="16" t="s">
        <v>663</v>
      </c>
      <c r="N122" s="21" t="s">
        <v>11</v>
      </c>
      <c r="O122" s="16" t="s">
        <v>664</v>
      </c>
      <c r="P122" s="16" t="s">
        <v>663</v>
      </c>
      <c r="Q122" s="21" t="s">
        <v>11</v>
      </c>
      <c r="R122" s="21" t="s">
        <v>11</v>
      </c>
      <c r="S122" s="16" t="s">
        <v>665</v>
      </c>
      <c r="T122" s="16" t="s">
        <v>387</v>
      </c>
      <c r="U122" s="22" t="n">
        <v>0</v>
      </c>
      <c r="V122" s="16" t="s">
        <v>667</v>
      </c>
    </row>
    <row r="123" customFormat="false" ht="15" hidden="false" customHeight="false" outlineLevel="0" collapsed="false">
      <c r="A123" s="16" t="s">
        <v>292</v>
      </c>
      <c r="B123" s="21" t="s">
        <v>11</v>
      </c>
      <c r="C123" s="21" t="s">
        <v>11</v>
      </c>
      <c r="D123" s="16" t="s">
        <v>254</v>
      </c>
      <c r="E123" s="21" t="s">
        <v>11</v>
      </c>
      <c r="F123" s="16" t="s">
        <v>663</v>
      </c>
      <c r="G123" s="16" t="s">
        <v>663</v>
      </c>
      <c r="H123" s="21" t="s">
        <v>11</v>
      </c>
      <c r="I123" s="21" t="s">
        <v>11</v>
      </c>
      <c r="J123" s="21" t="s">
        <v>11</v>
      </c>
      <c r="K123" s="16" t="s">
        <v>663</v>
      </c>
      <c r="L123" s="16" t="s">
        <v>663</v>
      </c>
      <c r="M123" s="16" t="s">
        <v>663</v>
      </c>
      <c r="N123" s="21" t="s">
        <v>11</v>
      </c>
      <c r="O123" s="16" t="s">
        <v>664</v>
      </c>
      <c r="P123" s="16" t="s">
        <v>663</v>
      </c>
      <c r="Q123" s="21" t="s">
        <v>11</v>
      </c>
      <c r="R123" s="21" t="s">
        <v>11</v>
      </c>
      <c r="S123" s="16" t="s">
        <v>665</v>
      </c>
      <c r="T123" s="16" t="s">
        <v>292</v>
      </c>
      <c r="U123" s="22" t="n">
        <v>0</v>
      </c>
      <c r="V123" s="16" t="s">
        <v>666</v>
      </c>
    </row>
    <row r="124" customFormat="false" ht="15" hidden="false" customHeight="false" outlineLevel="0" collapsed="false">
      <c r="A124" s="16" t="s">
        <v>185</v>
      </c>
      <c r="B124" s="16" t="s">
        <v>182</v>
      </c>
      <c r="C124" s="16" t="s">
        <v>183</v>
      </c>
      <c r="D124" s="16" t="s">
        <v>50</v>
      </c>
      <c r="E124" s="16" t="n">
        <v>18</v>
      </c>
      <c r="F124" s="16" t="s">
        <v>663</v>
      </c>
      <c r="G124" s="16" t="s">
        <v>663</v>
      </c>
      <c r="H124" s="21" t="s">
        <v>11</v>
      </c>
      <c r="I124" s="21" t="s">
        <v>11</v>
      </c>
      <c r="J124" s="21" t="s">
        <v>11</v>
      </c>
      <c r="K124" s="16" t="s">
        <v>663</v>
      </c>
      <c r="L124" s="16" t="s">
        <v>663</v>
      </c>
      <c r="M124" s="16" t="s">
        <v>663</v>
      </c>
      <c r="N124" s="21" t="s">
        <v>11</v>
      </c>
      <c r="O124" s="16" t="s">
        <v>664</v>
      </c>
      <c r="P124" s="16" t="s">
        <v>663</v>
      </c>
      <c r="Q124" s="21" t="s">
        <v>11</v>
      </c>
      <c r="R124" s="21" t="s">
        <v>11</v>
      </c>
      <c r="S124" s="16" t="s">
        <v>665</v>
      </c>
      <c r="T124" s="16" t="s">
        <v>185</v>
      </c>
      <c r="U124" s="22" t="n">
        <v>0</v>
      </c>
      <c r="V124" s="16" t="s">
        <v>666</v>
      </c>
    </row>
    <row r="125" customFormat="false" ht="15" hidden="false" customHeight="false" outlineLevel="0" collapsed="false">
      <c r="A125" s="16" t="s">
        <v>389</v>
      </c>
      <c r="B125" s="16" t="s">
        <v>357</v>
      </c>
      <c r="C125" s="16" t="s">
        <v>358</v>
      </c>
      <c r="D125" s="16" t="s">
        <v>359</v>
      </c>
      <c r="E125" s="16" t="n">
        <v>18</v>
      </c>
      <c r="F125" s="16" t="s">
        <v>663</v>
      </c>
      <c r="G125" s="16" t="s">
        <v>663</v>
      </c>
      <c r="H125" s="21" t="s">
        <v>11</v>
      </c>
      <c r="I125" s="21" t="s">
        <v>11</v>
      </c>
      <c r="J125" s="21" t="s">
        <v>11</v>
      </c>
      <c r="K125" s="16" t="s">
        <v>663</v>
      </c>
      <c r="L125" s="16" t="s">
        <v>663</v>
      </c>
      <c r="M125" s="16" t="s">
        <v>663</v>
      </c>
      <c r="N125" s="21" t="s">
        <v>11</v>
      </c>
      <c r="O125" s="16" t="s">
        <v>664</v>
      </c>
      <c r="P125" s="16" t="s">
        <v>663</v>
      </c>
      <c r="Q125" s="21" t="s">
        <v>11</v>
      </c>
      <c r="R125" s="21" t="s">
        <v>11</v>
      </c>
      <c r="S125" s="16" t="s">
        <v>665</v>
      </c>
      <c r="T125" s="16" t="s">
        <v>389</v>
      </c>
      <c r="U125" s="22" t="n">
        <v>0</v>
      </c>
      <c r="V125" s="16" t="s">
        <v>667</v>
      </c>
    </row>
    <row r="126" customFormat="false" ht="15" hidden="false" customHeight="false" outlineLevel="0" collapsed="false">
      <c r="A126" s="16" t="s">
        <v>453</v>
      </c>
      <c r="B126" s="21" t="s">
        <v>11</v>
      </c>
      <c r="C126" s="21" t="s">
        <v>11</v>
      </c>
      <c r="D126" s="16" t="s">
        <v>398</v>
      </c>
      <c r="E126" s="21" t="s">
        <v>11</v>
      </c>
      <c r="F126" s="16" t="s">
        <v>663</v>
      </c>
      <c r="G126" s="16" t="s">
        <v>663</v>
      </c>
      <c r="H126" s="21" t="s">
        <v>11</v>
      </c>
      <c r="I126" s="21" t="s">
        <v>11</v>
      </c>
      <c r="J126" s="21" t="s">
        <v>11</v>
      </c>
      <c r="K126" s="16" t="s">
        <v>663</v>
      </c>
      <c r="L126" s="16" t="s">
        <v>663</v>
      </c>
      <c r="M126" s="16" t="s">
        <v>663</v>
      </c>
      <c r="N126" s="21" t="s">
        <v>11</v>
      </c>
      <c r="O126" s="16" t="s">
        <v>664</v>
      </c>
      <c r="P126" s="16" t="s">
        <v>663</v>
      </c>
      <c r="Q126" s="21" t="s">
        <v>11</v>
      </c>
      <c r="R126" s="21" t="s">
        <v>11</v>
      </c>
      <c r="S126" s="16" t="s">
        <v>665</v>
      </c>
      <c r="T126" s="16" t="s">
        <v>453</v>
      </c>
      <c r="U126" s="22" t="n">
        <v>0</v>
      </c>
      <c r="V126" s="16" t="s">
        <v>666</v>
      </c>
    </row>
    <row r="127" customFormat="false" ht="15" hidden="false" customHeight="false" outlineLevel="0" collapsed="false">
      <c r="A127" s="16" t="s">
        <v>456</v>
      </c>
      <c r="B127" s="21" t="s">
        <v>11</v>
      </c>
      <c r="C127" s="21" t="s">
        <v>11</v>
      </c>
      <c r="D127" s="16" t="s">
        <v>398</v>
      </c>
      <c r="E127" s="21" t="s">
        <v>11</v>
      </c>
      <c r="F127" s="16" t="s">
        <v>663</v>
      </c>
      <c r="G127" s="16" t="s">
        <v>663</v>
      </c>
      <c r="H127" s="21" t="s">
        <v>11</v>
      </c>
      <c r="I127" s="21" t="s">
        <v>11</v>
      </c>
      <c r="J127" s="21" t="s">
        <v>11</v>
      </c>
      <c r="K127" s="16" t="s">
        <v>663</v>
      </c>
      <c r="L127" s="16" t="s">
        <v>663</v>
      </c>
      <c r="M127" s="16" t="s">
        <v>663</v>
      </c>
      <c r="N127" s="21" t="s">
        <v>11</v>
      </c>
      <c r="O127" s="16" t="s">
        <v>664</v>
      </c>
      <c r="P127" s="16" t="s">
        <v>663</v>
      </c>
      <c r="Q127" s="21" t="s">
        <v>11</v>
      </c>
      <c r="R127" s="21" t="s">
        <v>11</v>
      </c>
      <c r="S127" s="16" t="s">
        <v>665</v>
      </c>
      <c r="T127" s="16" t="s">
        <v>456</v>
      </c>
      <c r="U127" s="22" t="n">
        <v>0</v>
      </c>
      <c r="V127" s="16" t="s">
        <v>666</v>
      </c>
    </row>
    <row r="128" customFormat="false" ht="15" hidden="false" customHeight="false" outlineLevel="0" collapsed="false">
      <c r="A128" s="16" t="s">
        <v>391</v>
      </c>
      <c r="B128" s="16" t="s">
        <v>357</v>
      </c>
      <c r="C128" s="16" t="s">
        <v>358</v>
      </c>
      <c r="D128" s="16" t="s">
        <v>359</v>
      </c>
      <c r="E128" s="16" t="n">
        <v>18</v>
      </c>
      <c r="F128" s="16" t="s">
        <v>663</v>
      </c>
      <c r="G128" s="16" t="s">
        <v>663</v>
      </c>
      <c r="H128" s="21" t="s">
        <v>11</v>
      </c>
      <c r="I128" s="21" t="s">
        <v>11</v>
      </c>
      <c r="J128" s="21" t="s">
        <v>11</v>
      </c>
      <c r="K128" s="16" t="s">
        <v>663</v>
      </c>
      <c r="L128" s="16" t="s">
        <v>663</v>
      </c>
      <c r="M128" s="16" t="s">
        <v>663</v>
      </c>
      <c r="N128" s="21" t="s">
        <v>11</v>
      </c>
      <c r="O128" s="16" t="s">
        <v>664</v>
      </c>
      <c r="P128" s="16" t="s">
        <v>663</v>
      </c>
      <c r="Q128" s="21" t="s">
        <v>11</v>
      </c>
      <c r="R128" s="21" t="s">
        <v>11</v>
      </c>
      <c r="S128" s="16" t="s">
        <v>665</v>
      </c>
      <c r="T128" s="16" t="s">
        <v>391</v>
      </c>
      <c r="U128" s="22" t="n">
        <v>0</v>
      </c>
      <c r="V128" s="16" t="s">
        <v>667</v>
      </c>
    </row>
    <row r="129" customFormat="false" ht="15" hidden="false" customHeight="false" outlineLevel="0" collapsed="false">
      <c r="A129" s="16" t="s">
        <v>180</v>
      </c>
      <c r="B129" s="16" t="s">
        <v>175</v>
      </c>
      <c r="C129" s="16" t="s">
        <v>176</v>
      </c>
      <c r="D129" s="16" t="s">
        <v>50</v>
      </c>
      <c r="E129" s="16" t="n">
        <v>18</v>
      </c>
      <c r="F129" s="16" t="s">
        <v>663</v>
      </c>
      <c r="G129" s="16" t="s">
        <v>663</v>
      </c>
      <c r="H129" s="21" t="s">
        <v>11</v>
      </c>
      <c r="I129" s="21" t="s">
        <v>11</v>
      </c>
      <c r="J129" s="21" t="s">
        <v>11</v>
      </c>
      <c r="K129" s="16" t="s">
        <v>663</v>
      </c>
      <c r="L129" s="16" t="s">
        <v>663</v>
      </c>
      <c r="M129" s="16" t="s">
        <v>663</v>
      </c>
      <c r="N129" s="21" t="s">
        <v>11</v>
      </c>
      <c r="O129" s="16" t="s">
        <v>664</v>
      </c>
      <c r="P129" s="16" t="s">
        <v>663</v>
      </c>
      <c r="Q129" s="21" t="s">
        <v>11</v>
      </c>
      <c r="R129" s="21" t="s">
        <v>11</v>
      </c>
      <c r="S129" s="16" t="s">
        <v>665</v>
      </c>
      <c r="T129" s="16" t="s">
        <v>180</v>
      </c>
      <c r="U129" s="22" t="n">
        <v>0</v>
      </c>
      <c r="V129" s="16" t="s">
        <v>666</v>
      </c>
    </row>
    <row r="130" customFormat="false" ht="15" hidden="false" customHeight="false" outlineLevel="0" collapsed="false">
      <c r="A130" s="16" t="s">
        <v>293</v>
      </c>
      <c r="B130" s="21" t="s">
        <v>11</v>
      </c>
      <c r="C130" s="21" t="s">
        <v>11</v>
      </c>
      <c r="D130" s="16" t="s">
        <v>254</v>
      </c>
      <c r="E130" s="21" t="s">
        <v>11</v>
      </c>
      <c r="F130" s="16" t="s">
        <v>663</v>
      </c>
      <c r="G130" s="16" t="s">
        <v>663</v>
      </c>
      <c r="H130" s="21" t="s">
        <v>11</v>
      </c>
      <c r="I130" s="21" t="s">
        <v>11</v>
      </c>
      <c r="J130" s="21" t="s">
        <v>11</v>
      </c>
      <c r="K130" s="16" t="s">
        <v>663</v>
      </c>
      <c r="L130" s="16" t="s">
        <v>663</v>
      </c>
      <c r="M130" s="16" t="s">
        <v>663</v>
      </c>
      <c r="N130" s="21" t="s">
        <v>11</v>
      </c>
      <c r="O130" s="16" t="s">
        <v>664</v>
      </c>
      <c r="P130" s="16" t="s">
        <v>663</v>
      </c>
      <c r="Q130" s="21" t="s">
        <v>11</v>
      </c>
      <c r="R130" s="21" t="s">
        <v>11</v>
      </c>
      <c r="S130" s="16" t="s">
        <v>665</v>
      </c>
      <c r="T130" s="16" t="s">
        <v>293</v>
      </c>
      <c r="U130" s="22" t="n">
        <v>0</v>
      </c>
      <c r="V130" s="16" t="s">
        <v>666</v>
      </c>
    </row>
    <row r="131" customFormat="false" ht="15" hidden="false" customHeight="false" outlineLevel="0" collapsed="false">
      <c r="A131" s="16" t="s">
        <v>294</v>
      </c>
      <c r="B131" s="21" t="s">
        <v>11</v>
      </c>
      <c r="C131" s="21" t="s">
        <v>11</v>
      </c>
      <c r="D131" s="16" t="s">
        <v>254</v>
      </c>
      <c r="E131" s="21" t="s">
        <v>11</v>
      </c>
      <c r="F131" s="16" t="s">
        <v>663</v>
      </c>
      <c r="G131" s="16" t="s">
        <v>663</v>
      </c>
      <c r="H131" s="21" t="s">
        <v>11</v>
      </c>
      <c r="I131" s="21" t="s">
        <v>11</v>
      </c>
      <c r="J131" s="21" t="s">
        <v>11</v>
      </c>
      <c r="K131" s="16" t="s">
        <v>663</v>
      </c>
      <c r="L131" s="16" t="s">
        <v>663</v>
      </c>
      <c r="M131" s="16" t="s">
        <v>663</v>
      </c>
      <c r="N131" s="21" t="s">
        <v>11</v>
      </c>
      <c r="O131" s="16" t="s">
        <v>664</v>
      </c>
      <c r="P131" s="16" t="s">
        <v>663</v>
      </c>
      <c r="Q131" s="21" t="s">
        <v>11</v>
      </c>
      <c r="R131" s="21" t="s">
        <v>11</v>
      </c>
      <c r="S131" s="16" t="s">
        <v>665</v>
      </c>
      <c r="T131" s="16" t="s">
        <v>294</v>
      </c>
      <c r="U131" s="22" t="n">
        <v>0</v>
      </c>
      <c r="V131" s="16" t="s">
        <v>666</v>
      </c>
    </row>
    <row r="132" customFormat="false" ht="15" hidden="false" customHeight="false" outlineLevel="0" collapsed="false">
      <c r="A132" s="16" t="s">
        <v>214</v>
      </c>
      <c r="B132" s="16" t="s">
        <v>209</v>
      </c>
      <c r="C132" s="16" t="s">
        <v>210</v>
      </c>
      <c r="D132" s="16" t="s">
        <v>50</v>
      </c>
      <c r="E132" s="16" t="n">
        <v>18</v>
      </c>
      <c r="F132" s="16" t="s">
        <v>663</v>
      </c>
      <c r="G132" s="16" t="s">
        <v>663</v>
      </c>
      <c r="H132" s="21" t="s">
        <v>11</v>
      </c>
      <c r="I132" s="21" t="s">
        <v>11</v>
      </c>
      <c r="J132" s="21" t="s">
        <v>11</v>
      </c>
      <c r="K132" s="16" t="s">
        <v>663</v>
      </c>
      <c r="L132" s="16" t="s">
        <v>663</v>
      </c>
      <c r="M132" s="16" t="s">
        <v>663</v>
      </c>
      <c r="N132" s="21" t="s">
        <v>11</v>
      </c>
      <c r="O132" s="16" t="s">
        <v>664</v>
      </c>
      <c r="P132" s="16" t="s">
        <v>663</v>
      </c>
      <c r="Q132" s="21" t="s">
        <v>11</v>
      </c>
      <c r="R132" s="21" t="s">
        <v>11</v>
      </c>
      <c r="S132" s="16" t="s">
        <v>665</v>
      </c>
      <c r="T132" s="16" t="s">
        <v>214</v>
      </c>
      <c r="U132" s="22" t="n">
        <v>0</v>
      </c>
      <c r="V132" s="16" t="s">
        <v>666</v>
      </c>
    </row>
    <row r="133" customFormat="false" ht="15" hidden="false" customHeight="false" outlineLevel="0" collapsed="false">
      <c r="A133" s="16" t="s">
        <v>295</v>
      </c>
      <c r="B133" s="21" t="s">
        <v>11</v>
      </c>
      <c r="C133" s="21" t="s">
        <v>11</v>
      </c>
      <c r="D133" s="16" t="s">
        <v>254</v>
      </c>
      <c r="E133" s="21" t="s">
        <v>11</v>
      </c>
      <c r="F133" s="16" t="s">
        <v>663</v>
      </c>
      <c r="G133" s="16" t="s">
        <v>663</v>
      </c>
      <c r="H133" s="21" t="s">
        <v>11</v>
      </c>
      <c r="I133" s="21" t="s">
        <v>11</v>
      </c>
      <c r="J133" s="21" t="s">
        <v>11</v>
      </c>
      <c r="K133" s="16" t="s">
        <v>663</v>
      </c>
      <c r="L133" s="16" t="s">
        <v>663</v>
      </c>
      <c r="M133" s="16" t="s">
        <v>663</v>
      </c>
      <c r="N133" s="21" t="s">
        <v>11</v>
      </c>
      <c r="O133" s="16" t="s">
        <v>664</v>
      </c>
      <c r="P133" s="16" t="s">
        <v>663</v>
      </c>
      <c r="Q133" s="21" t="s">
        <v>11</v>
      </c>
      <c r="R133" s="21" t="s">
        <v>11</v>
      </c>
      <c r="S133" s="16" t="s">
        <v>665</v>
      </c>
      <c r="T133" s="16" t="s">
        <v>295</v>
      </c>
      <c r="U133" s="22" t="n">
        <v>0</v>
      </c>
      <c r="V133" s="16" t="s">
        <v>666</v>
      </c>
    </row>
    <row r="134" customFormat="false" ht="15" hidden="false" customHeight="false" outlineLevel="0" collapsed="false">
      <c r="A134" s="16" t="s">
        <v>191</v>
      </c>
      <c r="B134" s="16" t="s">
        <v>175</v>
      </c>
      <c r="C134" s="16" t="s">
        <v>187</v>
      </c>
      <c r="D134" s="16" t="s">
        <v>50</v>
      </c>
      <c r="E134" s="16" t="n">
        <v>18</v>
      </c>
      <c r="F134" s="16" t="s">
        <v>663</v>
      </c>
      <c r="G134" s="16" t="s">
        <v>663</v>
      </c>
      <c r="H134" s="21" t="s">
        <v>11</v>
      </c>
      <c r="I134" s="21" t="s">
        <v>11</v>
      </c>
      <c r="J134" s="21" t="s">
        <v>11</v>
      </c>
      <c r="K134" s="16" t="s">
        <v>663</v>
      </c>
      <c r="L134" s="16" t="s">
        <v>663</v>
      </c>
      <c r="M134" s="16" t="s">
        <v>663</v>
      </c>
      <c r="N134" s="21" t="s">
        <v>11</v>
      </c>
      <c r="O134" s="16" t="s">
        <v>664</v>
      </c>
      <c r="P134" s="16" t="s">
        <v>663</v>
      </c>
      <c r="Q134" s="21" t="s">
        <v>11</v>
      </c>
      <c r="R134" s="21" t="s">
        <v>11</v>
      </c>
      <c r="S134" s="16" t="s">
        <v>665</v>
      </c>
      <c r="T134" s="16" t="s">
        <v>191</v>
      </c>
      <c r="U134" s="22" t="n">
        <v>0</v>
      </c>
      <c r="V134" s="16" t="s">
        <v>666</v>
      </c>
    </row>
    <row r="135" customFormat="false" ht="15" hidden="false" customHeight="false" outlineLevel="0" collapsed="false">
      <c r="A135" s="16" t="s">
        <v>296</v>
      </c>
      <c r="B135" s="21" t="s">
        <v>11</v>
      </c>
      <c r="C135" s="21" t="s">
        <v>11</v>
      </c>
      <c r="D135" s="16" t="s">
        <v>254</v>
      </c>
      <c r="E135" s="21" t="s">
        <v>11</v>
      </c>
      <c r="F135" s="16" t="s">
        <v>663</v>
      </c>
      <c r="G135" s="16" t="s">
        <v>663</v>
      </c>
      <c r="H135" s="21" t="s">
        <v>11</v>
      </c>
      <c r="I135" s="21" t="s">
        <v>11</v>
      </c>
      <c r="J135" s="21" t="s">
        <v>11</v>
      </c>
      <c r="K135" s="16" t="s">
        <v>663</v>
      </c>
      <c r="L135" s="16" t="s">
        <v>663</v>
      </c>
      <c r="M135" s="16" t="s">
        <v>663</v>
      </c>
      <c r="N135" s="21" t="s">
        <v>11</v>
      </c>
      <c r="O135" s="16" t="s">
        <v>664</v>
      </c>
      <c r="P135" s="16" t="s">
        <v>663</v>
      </c>
      <c r="Q135" s="21" t="s">
        <v>11</v>
      </c>
      <c r="R135" s="21" t="s">
        <v>11</v>
      </c>
      <c r="S135" s="16" t="s">
        <v>665</v>
      </c>
      <c r="T135" s="16" t="s">
        <v>296</v>
      </c>
      <c r="U135" s="22" t="n">
        <v>0</v>
      </c>
      <c r="V135" s="16" t="s">
        <v>666</v>
      </c>
    </row>
    <row r="136" customFormat="false" ht="15" hidden="false" customHeight="false" outlineLevel="0" collapsed="false">
      <c r="A136" s="16" t="s">
        <v>131</v>
      </c>
      <c r="B136" s="16" t="s">
        <v>117</v>
      </c>
      <c r="C136" s="16" t="s">
        <v>110</v>
      </c>
      <c r="D136" s="16" t="s">
        <v>50</v>
      </c>
      <c r="E136" s="16" t="n">
        <v>18</v>
      </c>
      <c r="F136" s="16" t="s">
        <v>663</v>
      </c>
      <c r="G136" s="16" t="s">
        <v>663</v>
      </c>
      <c r="H136" s="21" t="s">
        <v>11</v>
      </c>
      <c r="I136" s="21" t="s">
        <v>11</v>
      </c>
      <c r="J136" s="21" t="s">
        <v>11</v>
      </c>
      <c r="K136" s="16" t="s">
        <v>663</v>
      </c>
      <c r="L136" s="16" t="s">
        <v>663</v>
      </c>
      <c r="M136" s="16" t="s">
        <v>663</v>
      </c>
      <c r="N136" s="21" t="s">
        <v>11</v>
      </c>
      <c r="O136" s="16" t="s">
        <v>664</v>
      </c>
      <c r="P136" s="16" t="s">
        <v>663</v>
      </c>
      <c r="Q136" s="21" t="s">
        <v>11</v>
      </c>
      <c r="R136" s="21" t="s">
        <v>11</v>
      </c>
      <c r="S136" s="16" t="s">
        <v>665</v>
      </c>
      <c r="T136" s="16" t="s">
        <v>131</v>
      </c>
      <c r="U136" s="22" t="n">
        <v>0</v>
      </c>
      <c r="V136" s="16" t="s">
        <v>666</v>
      </c>
    </row>
    <row r="137" customFormat="false" ht="15" hidden="false" customHeight="false" outlineLevel="0" collapsed="false">
      <c r="A137" s="16" t="s">
        <v>168</v>
      </c>
      <c r="B137" s="16" t="s">
        <v>169</v>
      </c>
      <c r="C137" s="16" t="s">
        <v>170</v>
      </c>
      <c r="D137" s="16" t="s">
        <v>50</v>
      </c>
      <c r="E137" s="16" t="n">
        <v>18</v>
      </c>
      <c r="F137" s="16" t="s">
        <v>663</v>
      </c>
      <c r="G137" s="16" t="s">
        <v>663</v>
      </c>
      <c r="H137" s="21" t="s">
        <v>11</v>
      </c>
      <c r="I137" s="21" t="s">
        <v>11</v>
      </c>
      <c r="J137" s="21" t="s">
        <v>11</v>
      </c>
      <c r="K137" s="16" t="s">
        <v>663</v>
      </c>
      <c r="L137" s="16" t="s">
        <v>663</v>
      </c>
      <c r="M137" s="16" t="s">
        <v>663</v>
      </c>
      <c r="N137" s="21" t="s">
        <v>11</v>
      </c>
      <c r="O137" s="16" t="s">
        <v>664</v>
      </c>
      <c r="P137" s="16" t="s">
        <v>663</v>
      </c>
      <c r="Q137" s="21" t="s">
        <v>11</v>
      </c>
      <c r="R137" s="21" t="s">
        <v>11</v>
      </c>
      <c r="S137" s="16" t="s">
        <v>665</v>
      </c>
      <c r="T137" s="16" t="s">
        <v>168</v>
      </c>
      <c r="U137" s="22" t="n">
        <v>0</v>
      </c>
      <c r="V137" s="16" t="s">
        <v>666</v>
      </c>
    </row>
    <row r="138" customFormat="false" ht="15" hidden="false" customHeight="false" outlineLevel="0" collapsed="false">
      <c r="A138" s="16" t="s">
        <v>318</v>
      </c>
      <c r="B138" s="16" t="s">
        <v>216</v>
      </c>
      <c r="C138" s="16" t="s">
        <v>311</v>
      </c>
      <c r="D138" s="16" t="s">
        <v>312</v>
      </c>
      <c r="E138" s="16" t="n">
        <v>18</v>
      </c>
      <c r="F138" s="16" t="s">
        <v>663</v>
      </c>
      <c r="G138" s="16" t="s">
        <v>663</v>
      </c>
      <c r="H138" s="21" t="s">
        <v>11</v>
      </c>
      <c r="I138" s="21" t="s">
        <v>11</v>
      </c>
      <c r="J138" s="21" t="s">
        <v>11</v>
      </c>
      <c r="K138" s="16" t="s">
        <v>663</v>
      </c>
      <c r="L138" s="16" t="s">
        <v>663</v>
      </c>
      <c r="M138" s="16" t="s">
        <v>663</v>
      </c>
      <c r="N138" s="21" t="s">
        <v>11</v>
      </c>
      <c r="O138" s="16" t="s">
        <v>664</v>
      </c>
      <c r="P138" s="16" t="s">
        <v>663</v>
      </c>
      <c r="Q138" s="21" t="s">
        <v>11</v>
      </c>
      <c r="R138" s="21" t="s">
        <v>11</v>
      </c>
      <c r="S138" s="16" t="s">
        <v>665</v>
      </c>
      <c r="T138" s="16" t="s">
        <v>318</v>
      </c>
      <c r="U138" s="22" t="n">
        <v>16387.7603210683</v>
      </c>
      <c r="V138" s="16" t="s">
        <v>666</v>
      </c>
    </row>
    <row r="139" customFormat="false" ht="15" hidden="false" customHeight="false" outlineLevel="0" collapsed="false">
      <c r="A139" s="16" t="s">
        <v>349</v>
      </c>
      <c r="B139" s="21" t="s">
        <v>11</v>
      </c>
      <c r="C139" s="21" t="s">
        <v>11</v>
      </c>
      <c r="D139" s="16" t="s">
        <v>312</v>
      </c>
      <c r="E139" s="21" t="s">
        <v>11</v>
      </c>
      <c r="F139" s="16" t="s">
        <v>663</v>
      </c>
      <c r="G139" s="16" t="s">
        <v>663</v>
      </c>
      <c r="H139" s="21" t="s">
        <v>11</v>
      </c>
      <c r="I139" s="21" t="s">
        <v>11</v>
      </c>
      <c r="J139" s="21" t="s">
        <v>11</v>
      </c>
      <c r="K139" s="16" t="s">
        <v>663</v>
      </c>
      <c r="L139" s="16" t="s">
        <v>663</v>
      </c>
      <c r="M139" s="16" t="s">
        <v>663</v>
      </c>
      <c r="N139" s="21" t="s">
        <v>11</v>
      </c>
      <c r="O139" s="16" t="s">
        <v>664</v>
      </c>
      <c r="P139" s="16" t="s">
        <v>663</v>
      </c>
      <c r="Q139" s="21" t="s">
        <v>11</v>
      </c>
      <c r="R139" s="21" t="s">
        <v>11</v>
      </c>
      <c r="S139" s="16" t="s">
        <v>665</v>
      </c>
      <c r="T139" s="16" t="s">
        <v>349</v>
      </c>
      <c r="U139" s="22" t="n">
        <v>0</v>
      </c>
      <c r="V139" s="16" t="s">
        <v>666</v>
      </c>
    </row>
    <row r="140" customFormat="false" ht="15" hidden="false" customHeight="false" outlineLevel="0" collapsed="false">
      <c r="A140" s="16" t="s">
        <v>459</v>
      </c>
      <c r="B140" s="21" t="s">
        <v>11</v>
      </c>
      <c r="C140" s="21" t="s">
        <v>11</v>
      </c>
      <c r="D140" s="16" t="s">
        <v>398</v>
      </c>
      <c r="E140" s="21" t="s">
        <v>11</v>
      </c>
      <c r="F140" s="16" t="s">
        <v>663</v>
      </c>
      <c r="G140" s="16" t="s">
        <v>663</v>
      </c>
      <c r="H140" s="21" t="s">
        <v>11</v>
      </c>
      <c r="I140" s="21" t="s">
        <v>11</v>
      </c>
      <c r="J140" s="21" t="s">
        <v>11</v>
      </c>
      <c r="K140" s="16" t="s">
        <v>663</v>
      </c>
      <c r="L140" s="16" t="s">
        <v>663</v>
      </c>
      <c r="M140" s="16" t="s">
        <v>663</v>
      </c>
      <c r="N140" s="21" t="s">
        <v>11</v>
      </c>
      <c r="O140" s="16" t="s">
        <v>664</v>
      </c>
      <c r="P140" s="16" t="s">
        <v>663</v>
      </c>
      <c r="Q140" s="21" t="s">
        <v>11</v>
      </c>
      <c r="R140" s="21" t="s">
        <v>11</v>
      </c>
      <c r="S140" s="16" t="s">
        <v>665</v>
      </c>
      <c r="T140" s="16" t="s">
        <v>459</v>
      </c>
      <c r="U140" s="22" t="n">
        <v>0</v>
      </c>
      <c r="V140" s="16" t="s">
        <v>666</v>
      </c>
    </row>
    <row r="141" customFormat="false" ht="15" hidden="false" customHeight="false" outlineLevel="0" collapsed="false">
      <c r="A141" s="16" t="s">
        <v>462</v>
      </c>
      <c r="B141" s="21" t="s">
        <v>11</v>
      </c>
      <c r="C141" s="21" t="s">
        <v>11</v>
      </c>
      <c r="D141" s="16" t="s">
        <v>398</v>
      </c>
      <c r="E141" s="21" t="s">
        <v>11</v>
      </c>
      <c r="F141" s="16" t="s">
        <v>663</v>
      </c>
      <c r="G141" s="16" t="s">
        <v>663</v>
      </c>
      <c r="H141" s="21" t="s">
        <v>11</v>
      </c>
      <c r="I141" s="21" t="s">
        <v>11</v>
      </c>
      <c r="J141" s="21" t="s">
        <v>11</v>
      </c>
      <c r="K141" s="16" t="s">
        <v>663</v>
      </c>
      <c r="L141" s="16" t="s">
        <v>663</v>
      </c>
      <c r="M141" s="16" t="s">
        <v>663</v>
      </c>
      <c r="N141" s="21" t="s">
        <v>11</v>
      </c>
      <c r="O141" s="16" t="s">
        <v>664</v>
      </c>
      <c r="P141" s="16" t="s">
        <v>663</v>
      </c>
      <c r="Q141" s="21" t="s">
        <v>11</v>
      </c>
      <c r="R141" s="21" t="s">
        <v>11</v>
      </c>
      <c r="S141" s="16" t="s">
        <v>665</v>
      </c>
      <c r="T141" s="16" t="s">
        <v>462</v>
      </c>
      <c r="U141" s="22" t="n">
        <v>0</v>
      </c>
      <c r="V141" s="16" t="s">
        <v>666</v>
      </c>
    </row>
    <row r="142" customFormat="false" ht="15" hidden="false" customHeight="false" outlineLevel="0" collapsed="false">
      <c r="A142" s="16" t="s">
        <v>297</v>
      </c>
      <c r="B142" s="21" t="s">
        <v>11</v>
      </c>
      <c r="C142" s="21" t="s">
        <v>11</v>
      </c>
      <c r="D142" s="16" t="s">
        <v>254</v>
      </c>
      <c r="E142" s="21" t="s">
        <v>11</v>
      </c>
      <c r="F142" s="16" t="s">
        <v>663</v>
      </c>
      <c r="G142" s="16" t="s">
        <v>663</v>
      </c>
      <c r="H142" s="21" t="s">
        <v>11</v>
      </c>
      <c r="I142" s="21" t="s">
        <v>11</v>
      </c>
      <c r="J142" s="21" t="s">
        <v>11</v>
      </c>
      <c r="K142" s="16" t="s">
        <v>663</v>
      </c>
      <c r="L142" s="16" t="s">
        <v>663</v>
      </c>
      <c r="M142" s="16" t="s">
        <v>663</v>
      </c>
      <c r="N142" s="21" t="s">
        <v>11</v>
      </c>
      <c r="O142" s="16" t="s">
        <v>664</v>
      </c>
      <c r="P142" s="16" t="s">
        <v>663</v>
      </c>
      <c r="Q142" s="21" t="s">
        <v>11</v>
      </c>
      <c r="R142" s="21" t="s">
        <v>11</v>
      </c>
      <c r="S142" s="16" t="s">
        <v>665</v>
      </c>
      <c r="T142" s="16" t="s">
        <v>297</v>
      </c>
      <c r="U142" s="22" t="n">
        <v>0</v>
      </c>
      <c r="V142" s="16" t="s">
        <v>666</v>
      </c>
    </row>
    <row r="143" customFormat="false" ht="15" hidden="false" customHeight="false" outlineLevel="0" collapsed="false">
      <c r="A143" s="16" t="s">
        <v>247</v>
      </c>
      <c r="B143" s="16" t="s">
        <v>230</v>
      </c>
      <c r="C143" s="16" t="s">
        <v>231</v>
      </c>
      <c r="D143" s="16" t="s">
        <v>232</v>
      </c>
      <c r="E143" s="21" t="s">
        <v>11</v>
      </c>
      <c r="F143" s="16" t="s">
        <v>663</v>
      </c>
      <c r="G143" s="16" t="s">
        <v>663</v>
      </c>
      <c r="H143" s="21" t="s">
        <v>11</v>
      </c>
      <c r="I143" s="21" t="s">
        <v>11</v>
      </c>
      <c r="J143" s="16" t="s">
        <v>669</v>
      </c>
      <c r="K143" s="16" t="s">
        <v>663</v>
      </c>
      <c r="L143" s="16" t="s">
        <v>663</v>
      </c>
      <c r="M143" s="16" t="s">
        <v>663</v>
      </c>
      <c r="N143" s="21" t="s">
        <v>11</v>
      </c>
      <c r="O143" s="16" t="s">
        <v>664</v>
      </c>
      <c r="P143" s="16" t="s">
        <v>663</v>
      </c>
      <c r="Q143" s="21" t="s">
        <v>11</v>
      </c>
      <c r="R143" s="21" t="s">
        <v>11</v>
      </c>
      <c r="S143" s="16" t="s">
        <v>665</v>
      </c>
      <c r="T143" s="16" t="s">
        <v>247</v>
      </c>
      <c r="U143" s="22" t="n">
        <v>0</v>
      </c>
      <c r="V143" s="16" t="s">
        <v>666</v>
      </c>
    </row>
    <row r="144" customFormat="false" ht="15" hidden="false" customHeight="false" outlineLevel="0" collapsed="false">
      <c r="A144" s="16" t="s">
        <v>105</v>
      </c>
      <c r="B144" s="16" t="s">
        <v>97</v>
      </c>
      <c r="C144" s="16" t="s">
        <v>98</v>
      </c>
      <c r="D144" s="16" t="s">
        <v>50</v>
      </c>
      <c r="E144" s="16" t="n">
        <v>18</v>
      </c>
      <c r="F144" s="16" t="s">
        <v>663</v>
      </c>
      <c r="G144" s="16" t="s">
        <v>663</v>
      </c>
      <c r="H144" s="21" t="s">
        <v>11</v>
      </c>
      <c r="I144" s="21" t="s">
        <v>11</v>
      </c>
      <c r="J144" s="21" t="s">
        <v>11</v>
      </c>
      <c r="K144" s="16" t="s">
        <v>663</v>
      </c>
      <c r="L144" s="16" t="s">
        <v>663</v>
      </c>
      <c r="M144" s="16" t="s">
        <v>663</v>
      </c>
      <c r="N144" s="21" t="s">
        <v>11</v>
      </c>
      <c r="O144" s="16" t="s">
        <v>664</v>
      </c>
      <c r="P144" s="16" t="s">
        <v>663</v>
      </c>
      <c r="Q144" s="21" t="s">
        <v>11</v>
      </c>
      <c r="R144" s="21" t="s">
        <v>11</v>
      </c>
      <c r="S144" s="16" t="s">
        <v>665</v>
      </c>
      <c r="T144" s="16" t="s">
        <v>105</v>
      </c>
      <c r="U144" s="22" t="n">
        <v>0</v>
      </c>
      <c r="V144" s="16" t="s">
        <v>666</v>
      </c>
    </row>
    <row r="145" customFormat="false" ht="15" hidden="false" customHeight="false" outlineLevel="0" collapsed="false">
      <c r="A145" s="16" t="s">
        <v>228</v>
      </c>
      <c r="B145" s="16" t="s">
        <v>216</v>
      </c>
      <c r="C145" s="16" t="s">
        <v>217</v>
      </c>
      <c r="D145" s="16" t="s">
        <v>218</v>
      </c>
      <c r="E145" s="16" t="n">
        <v>18</v>
      </c>
      <c r="F145" s="16" t="s">
        <v>663</v>
      </c>
      <c r="G145" s="16" t="s">
        <v>663</v>
      </c>
      <c r="H145" s="21" t="s">
        <v>11</v>
      </c>
      <c r="I145" s="21" t="s">
        <v>11</v>
      </c>
      <c r="J145" s="21" t="s">
        <v>11</v>
      </c>
      <c r="K145" s="16" t="s">
        <v>663</v>
      </c>
      <c r="L145" s="16" t="s">
        <v>663</v>
      </c>
      <c r="M145" s="16" t="s">
        <v>663</v>
      </c>
      <c r="N145" s="21" t="s">
        <v>11</v>
      </c>
      <c r="O145" s="16" t="s">
        <v>664</v>
      </c>
      <c r="P145" s="16" t="s">
        <v>663</v>
      </c>
      <c r="Q145" s="21" t="s">
        <v>11</v>
      </c>
      <c r="R145" s="21" t="s">
        <v>11</v>
      </c>
      <c r="S145" s="16" t="s">
        <v>665</v>
      </c>
      <c r="T145" s="16" t="s">
        <v>228</v>
      </c>
      <c r="U145" s="22" t="n">
        <v>0</v>
      </c>
      <c r="V145" s="16" t="s">
        <v>666</v>
      </c>
    </row>
    <row r="146" customFormat="false" ht="15" hidden="false" customHeight="false" outlineLevel="0" collapsed="false">
      <c r="A146" s="16" t="s">
        <v>464</v>
      </c>
      <c r="B146" s="21" t="s">
        <v>11</v>
      </c>
      <c r="C146" s="21" t="s">
        <v>11</v>
      </c>
      <c r="D146" s="16" t="s">
        <v>398</v>
      </c>
      <c r="E146" s="21" t="s">
        <v>11</v>
      </c>
      <c r="F146" s="16" t="s">
        <v>663</v>
      </c>
      <c r="G146" s="16" t="s">
        <v>663</v>
      </c>
      <c r="H146" s="21" t="s">
        <v>11</v>
      </c>
      <c r="I146" s="21" t="s">
        <v>11</v>
      </c>
      <c r="J146" s="21" t="s">
        <v>11</v>
      </c>
      <c r="K146" s="16" t="s">
        <v>663</v>
      </c>
      <c r="L146" s="16" t="s">
        <v>663</v>
      </c>
      <c r="M146" s="16" t="s">
        <v>663</v>
      </c>
      <c r="N146" s="21" t="s">
        <v>11</v>
      </c>
      <c r="O146" s="16" t="s">
        <v>664</v>
      </c>
      <c r="P146" s="16" t="s">
        <v>663</v>
      </c>
      <c r="Q146" s="21" t="s">
        <v>11</v>
      </c>
      <c r="R146" s="21" t="s">
        <v>11</v>
      </c>
      <c r="S146" s="16" t="s">
        <v>665</v>
      </c>
      <c r="T146" s="16" t="s">
        <v>464</v>
      </c>
      <c r="U146" s="22" t="n">
        <v>0</v>
      </c>
      <c r="V146" s="16" t="s">
        <v>666</v>
      </c>
    </row>
    <row r="147" customFormat="false" ht="15" hidden="false" customHeight="false" outlineLevel="0" collapsed="false">
      <c r="A147" s="16" t="s">
        <v>173</v>
      </c>
      <c r="B147" s="16" t="s">
        <v>169</v>
      </c>
      <c r="C147" s="16" t="s">
        <v>170</v>
      </c>
      <c r="D147" s="16" t="s">
        <v>50</v>
      </c>
      <c r="E147" s="16" t="n">
        <v>18</v>
      </c>
      <c r="F147" s="16" t="s">
        <v>663</v>
      </c>
      <c r="G147" s="16" t="s">
        <v>663</v>
      </c>
      <c r="H147" s="21" t="s">
        <v>11</v>
      </c>
      <c r="I147" s="21" t="s">
        <v>11</v>
      </c>
      <c r="J147" s="21" t="s">
        <v>11</v>
      </c>
      <c r="K147" s="16" t="s">
        <v>663</v>
      </c>
      <c r="L147" s="16" t="s">
        <v>663</v>
      </c>
      <c r="M147" s="16" t="s">
        <v>663</v>
      </c>
      <c r="N147" s="21" t="s">
        <v>11</v>
      </c>
      <c r="O147" s="16" t="s">
        <v>664</v>
      </c>
      <c r="P147" s="16" t="s">
        <v>663</v>
      </c>
      <c r="Q147" s="21" t="s">
        <v>11</v>
      </c>
      <c r="R147" s="21" t="s">
        <v>11</v>
      </c>
      <c r="S147" s="16" t="s">
        <v>665</v>
      </c>
      <c r="T147" s="16" t="s">
        <v>173</v>
      </c>
      <c r="U147" s="22" t="n">
        <v>0</v>
      </c>
      <c r="V147" s="16" t="s">
        <v>666</v>
      </c>
    </row>
    <row r="148" customFormat="false" ht="15" hidden="false" customHeight="false" outlineLevel="0" collapsed="false">
      <c r="A148" s="16" t="s">
        <v>132</v>
      </c>
      <c r="B148" s="16" t="s">
        <v>117</v>
      </c>
      <c r="C148" s="16" t="s">
        <v>110</v>
      </c>
      <c r="D148" s="16" t="s">
        <v>50</v>
      </c>
      <c r="E148" s="16" t="n">
        <v>18</v>
      </c>
      <c r="F148" s="16" t="s">
        <v>663</v>
      </c>
      <c r="G148" s="16" t="s">
        <v>663</v>
      </c>
      <c r="H148" s="21" t="s">
        <v>11</v>
      </c>
      <c r="I148" s="21" t="s">
        <v>11</v>
      </c>
      <c r="J148" s="21" t="s">
        <v>11</v>
      </c>
      <c r="K148" s="16" t="s">
        <v>663</v>
      </c>
      <c r="L148" s="16" t="s">
        <v>663</v>
      </c>
      <c r="M148" s="16" t="s">
        <v>663</v>
      </c>
      <c r="N148" s="21" t="s">
        <v>11</v>
      </c>
      <c r="O148" s="16" t="s">
        <v>664</v>
      </c>
      <c r="P148" s="16" t="s">
        <v>663</v>
      </c>
      <c r="Q148" s="21" t="s">
        <v>11</v>
      </c>
      <c r="R148" s="21" t="s">
        <v>11</v>
      </c>
      <c r="S148" s="16" t="s">
        <v>665</v>
      </c>
      <c r="T148" s="16" t="s">
        <v>132</v>
      </c>
      <c r="U148" s="22" t="n">
        <v>0</v>
      </c>
      <c r="V148" s="16" t="s">
        <v>666</v>
      </c>
    </row>
    <row r="149" customFormat="false" ht="15" hidden="false" customHeight="false" outlineLevel="0" collapsed="false">
      <c r="A149" s="16" t="s">
        <v>300</v>
      </c>
      <c r="B149" s="21" t="s">
        <v>11</v>
      </c>
      <c r="C149" s="21" t="s">
        <v>11</v>
      </c>
      <c r="D149" s="16" t="s">
        <v>254</v>
      </c>
      <c r="E149" s="21" t="s">
        <v>11</v>
      </c>
      <c r="F149" s="16" t="s">
        <v>663</v>
      </c>
      <c r="G149" s="16" t="s">
        <v>663</v>
      </c>
      <c r="H149" s="21" t="s">
        <v>11</v>
      </c>
      <c r="I149" s="21" t="s">
        <v>11</v>
      </c>
      <c r="J149" s="21" t="s">
        <v>11</v>
      </c>
      <c r="K149" s="16" t="s">
        <v>663</v>
      </c>
      <c r="L149" s="16" t="s">
        <v>663</v>
      </c>
      <c r="M149" s="16" t="s">
        <v>663</v>
      </c>
      <c r="N149" s="21" t="s">
        <v>11</v>
      </c>
      <c r="O149" s="16" t="s">
        <v>664</v>
      </c>
      <c r="P149" s="16" t="s">
        <v>663</v>
      </c>
      <c r="Q149" s="21" t="s">
        <v>11</v>
      </c>
      <c r="R149" s="21" t="s">
        <v>11</v>
      </c>
      <c r="S149" s="16" t="s">
        <v>665</v>
      </c>
      <c r="T149" s="16" t="s">
        <v>300</v>
      </c>
      <c r="U149" s="22" t="n">
        <v>0</v>
      </c>
      <c r="V149" s="16" t="s">
        <v>666</v>
      </c>
    </row>
    <row r="150" customFormat="false" ht="15" hidden="false" customHeight="false" outlineLevel="0" collapsed="false">
      <c r="A150" s="16" t="s">
        <v>350</v>
      </c>
      <c r="B150" s="21" t="s">
        <v>11</v>
      </c>
      <c r="C150" s="21" t="s">
        <v>11</v>
      </c>
      <c r="D150" s="16" t="s">
        <v>312</v>
      </c>
      <c r="E150" s="21" t="s">
        <v>11</v>
      </c>
      <c r="F150" s="16" t="s">
        <v>663</v>
      </c>
      <c r="G150" s="16" t="s">
        <v>663</v>
      </c>
      <c r="H150" s="21" t="s">
        <v>11</v>
      </c>
      <c r="I150" s="21" t="s">
        <v>11</v>
      </c>
      <c r="J150" s="21" t="s">
        <v>11</v>
      </c>
      <c r="K150" s="16" t="s">
        <v>663</v>
      </c>
      <c r="L150" s="16" t="s">
        <v>663</v>
      </c>
      <c r="M150" s="16" t="s">
        <v>663</v>
      </c>
      <c r="N150" s="21" t="s">
        <v>11</v>
      </c>
      <c r="O150" s="16" t="s">
        <v>664</v>
      </c>
      <c r="P150" s="16" t="s">
        <v>663</v>
      </c>
      <c r="Q150" s="21" t="s">
        <v>11</v>
      </c>
      <c r="R150" s="21" t="s">
        <v>11</v>
      </c>
      <c r="S150" s="16" t="s">
        <v>665</v>
      </c>
      <c r="T150" s="16" t="s">
        <v>350</v>
      </c>
      <c r="U150" s="22" t="n">
        <v>0</v>
      </c>
      <c r="V150" s="16" t="s">
        <v>666</v>
      </c>
    </row>
    <row r="151" customFormat="false" ht="15" hidden="false" customHeight="false" outlineLevel="0" collapsed="false">
      <c r="A151" s="16" t="s">
        <v>351</v>
      </c>
      <c r="B151" s="21" t="s">
        <v>11</v>
      </c>
      <c r="C151" s="21" t="s">
        <v>11</v>
      </c>
      <c r="D151" s="16" t="s">
        <v>312</v>
      </c>
      <c r="E151" s="21" t="s">
        <v>11</v>
      </c>
      <c r="F151" s="16" t="s">
        <v>663</v>
      </c>
      <c r="G151" s="16" t="s">
        <v>663</v>
      </c>
      <c r="H151" s="21" t="s">
        <v>11</v>
      </c>
      <c r="I151" s="21" t="s">
        <v>11</v>
      </c>
      <c r="J151" s="21" t="s">
        <v>11</v>
      </c>
      <c r="K151" s="16" t="s">
        <v>663</v>
      </c>
      <c r="L151" s="16" t="s">
        <v>663</v>
      </c>
      <c r="M151" s="16" t="s">
        <v>663</v>
      </c>
      <c r="N151" s="21" t="s">
        <v>11</v>
      </c>
      <c r="O151" s="16" t="s">
        <v>664</v>
      </c>
      <c r="P151" s="16" t="s">
        <v>663</v>
      </c>
      <c r="Q151" s="21" t="s">
        <v>11</v>
      </c>
      <c r="R151" s="21" t="s">
        <v>11</v>
      </c>
      <c r="S151" s="16" t="s">
        <v>665</v>
      </c>
      <c r="T151" s="16" t="s">
        <v>351</v>
      </c>
      <c r="U151" s="22" t="n">
        <v>0</v>
      </c>
      <c r="V151" s="16" t="s">
        <v>666</v>
      </c>
    </row>
    <row r="152" customFormat="false" ht="15" hidden="false" customHeight="false" outlineLevel="0" collapsed="false">
      <c r="A152" s="16" t="s">
        <v>301</v>
      </c>
      <c r="B152" s="21" t="s">
        <v>11</v>
      </c>
      <c r="C152" s="21" t="s">
        <v>11</v>
      </c>
      <c r="D152" s="16" t="s">
        <v>254</v>
      </c>
      <c r="E152" s="21" t="s">
        <v>11</v>
      </c>
      <c r="F152" s="16" t="s">
        <v>663</v>
      </c>
      <c r="G152" s="16" t="s">
        <v>663</v>
      </c>
      <c r="H152" s="21" t="s">
        <v>11</v>
      </c>
      <c r="I152" s="21" t="s">
        <v>11</v>
      </c>
      <c r="J152" s="21" t="s">
        <v>11</v>
      </c>
      <c r="K152" s="16" t="s">
        <v>663</v>
      </c>
      <c r="L152" s="16" t="s">
        <v>663</v>
      </c>
      <c r="M152" s="16" t="s">
        <v>663</v>
      </c>
      <c r="N152" s="21" t="s">
        <v>11</v>
      </c>
      <c r="O152" s="16" t="s">
        <v>664</v>
      </c>
      <c r="P152" s="16" t="s">
        <v>663</v>
      </c>
      <c r="Q152" s="21" t="s">
        <v>11</v>
      </c>
      <c r="R152" s="21" t="s">
        <v>11</v>
      </c>
      <c r="S152" s="16" t="s">
        <v>665</v>
      </c>
      <c r="T152" s="16" t="s">
        <v>301</v>
      </c>
      <c r="U152" s="22" t="n">
        <v>0</v>
      </c>
      <c r="V152" s="16" t="s">
        <v>666</v>
      </c>
    </row>
    <row r="153" customFormat="false" ht="15" hidden="false" customHeight="false" outlineLevel="0" collapsed="false">
      <c r="A153" s="16" t="s">
        <v>302</v>
      </c>
      <c r="B153" s="21" t="s">
        <v>11</v>
      </c>
      <c r="C153" s="21" t="s">
        <v>11</v>
      </c>
      <c r="D153" s="16" t="s">
        <v>254</v>
      </c>
      <c r="E153" s="21" t="s">
        <v>11</v>
      </c>
      <c r="F153" s="16" t="s">
        <v>663</v>
      </c>
      <c r="G153" s="16" t="s">
        <v>663</v>
      </c>
      <c r="H153" s="21" t="s">
        <v>11</v>
      </c>
      <c r="I153" s="21" t="s">
        <v>11</v>
      </c>
      <c r="J153" s="21" t="s">
        <v>11</v>
      </c>
      <c r="K153" s="16" t="s">
        <v>663</v>
      </c>
      <c r="L153" s="16" t="s">
        <v>663</v>
      </c>
      <c r="M153" s="16" t="s">
        <v>663</v>
      </c>
      <c r="N153" s="21" t="s">
        <v>11</v>
      </c>
      <c r="O153" s="16" t="s">
        <v>664</v>
      </c>
      <c r="P153" s="16" t="s">
        <v>663</v>
      </c>
      <c r="Q153" s="21" t="s">
        <v>11</v>
      </c>
      <c r="R153" s="21" t="s">
        <v>11</v>
      </c>
      <c r="S153" s="16" t="s">
        <v>665</v>
      </c>
      <c r="T153" s="16" t="s">
        <v>302</v>
      </c>
      <c r="U153" s="22" t="n">
        <v>0</v>
      </c>
      <c r="V153" s="16" t="s">
        <v>666</v>
      </c>
    </row>
    <row r="154" customFormat="false" ht="15" hidden="false" customHeight="false" outlineLevel="0" collapsed="false">
      <c r="A154" s="16" t="s">
        <v>393</v>
      </c>
      <c r="B154" s="16" t="s">
        <v>357</v>
      </c>
      <c r="C154" s="16" t="s">
        <v>358</v>
      </c>
      <c r="D154" s="16" t="s">
        <v>359</v>
      </c>
      <c r="E154" s="16" t="n">
        <v>18</v>
      </c>
      <c r="F154" s="16" t="s">
        <v>663</v>
      </c>
      <c r="G154" s="16" t="s">
        <v>663</v>
      </c>
      <c r="H154" s="21" t="s">
        <v>11</v>
      </c>
      <c r="I154" s="21" t="s">
        <v>11</v>
      </c>
      <c r="J154" s="21" t="s">
        <v>11</v>
      </c>
      <c r="K154" s="16" t="s">
        <v>663</v>
      </c>
      <c r="L154" s="16" t="s">
        <v>663</v>
      </c>
      <c r="M154" s="16" t="s">
        <v>663</v>
      </c>
      <c r="N154" s="21" t="s">
        <v>11</v>
      </c>
      <c r="O154" s="16" t="s">
        <v>664</v>
      </c>
      <c r="P154" s="16" t="s">
        <v>663</v>
      </c>
      <c r="Q154" s="21" t="s">
        <v>11</v>
      </c>
      <c r="R154" s="21" t="s">
        <v>11</v>
      </c>
      <c r="S154" s="16" t="s">
        <v>665</v>
      </c>
      <c r="T154" s="16" t="s">
        <v>393</v>
      </c>
      <c r="U154" s="22" t="n">
        <v>0</v>
      </c>
      <c r="V154" s="16" t="s">
        <v>667</v>
      </c>
    </row>
    <row r="155" customFormat="false" ht="15" hidden="false" customHeight="false" outlineLevel="0" collapsed="false">
      <c r="A155" s="16" t="s">
        <v>467</v>
      </c>
      <c r="B155" s="21" t="s">
        <v>11</v>
      </c>
      <c r="C155" s="21" t="s">
        <v>11</v>
      </c>
      <c r="D155" s="16" t="s">
        <v>398</v>
      </c>
      <c r="E155" s="21" t="s">
        <v>11</v>
      </c>
      <c r="F155" s="16" t="s">
        <v>663</v>
      </c>
      <c r="G155" s="16" t="s">
        <v>663</v>
      </c>
      <c r="H155" s="21" t="s">
        <v>11</v>
      </c>
      <c r="I155" s="21" t="s">
        <v>11</v>
      </c>
      <c r="J155" s="21" t="s">
        <v>11</v>
      </c>
      <c r="K155" s="16" t="s">
        <v>663</v>
      </c>
      <c r="L155" s="16" t="s">
        <v>663</v>
      </c>
      <c r="M155" s="16" t="s">
        <v>663</v>
      </c>
      <c r="N155" s="21" t="s">
        <v>11</v>
      </c>
      <c r="O155" s="16" t="s">
        <v>664</v>
      </c>
      <c r="P155" s="16" t="s">
        <v>663</v>
      </c>
      <c r="Q155" s="21" t="s">
        <v>11</v>
      </c>
      <c r="R155" s="21" t="s">
        <v>11</v>
      </c>
      <c r="S155" s="16" t="s">
        <v>665</v>
      </c>
      <c r="T155" s="16" t="s">
        <v>467</v>
      </c>
      <c r="U155" s="22" t="n">
        <v>0</v>
      </c>
      <c r="V155" s="16" t="s">
        <v>666</v>
      </c>
    </row>
    <row r="156" customFormat="false" ht="15" hidden="false" customHeight="false" outlineLevel="0" collapsed="false">
      <c r="A156" s="16" t="s">
        <v>352</v>
      </c>
      <c r="B156" s="21" t="s">
        <v>11</v>
      </c>
      <c r="C156" s="21" t="s">
        <v>11</v>
      </c>
      <c r="D156" s="16" t="s">
        <v>312</v>
      </c>
      <c r="E156" s="21" t="s">
        <v>11</v>
      </c>
      <c r="F156" s="16" t="s">
        <v>663</v>
      </c>
      <c r="G156" s="16" t="s">
        <v>663</v>
      </c>
      <c r="H156" s="21" t="s">
        <v>11</v>
      </c>
      <c r="I156" s="21" t="s">
        <v>11</v>
      </c>
      <c r="J156" s="21" t="s">
        <v>11</v>
      </c>
      <c r="K156" s="16" t="s">
        <v>663</v>
      </c>
      <c r="L156" s="16" t="s">
        <v>663</v>
      </c>
      <c r="M156" s="16" t="s">
        <v>663</v>
      </c>
      <c r="N156" s="21" t="s">
        <v>11</v>
      </c>
      <c r="O156" s="16" t="s">
        <v>664</v>
      </c>
      <c r="P156" s="16" t="s">
        <v>663</v>
      </c>
      <c r="Q156" s="21" t="s">
        <v>11</v>
      </c>
      <c r="R156" s="21" t="s">
        <v>11</v>
      </c>
      <c r="S156" s="16" t="s">
        <v>665</v>
      </c>
      <c r="T156" s="16" t="s">
        <v>352</v>
      </c>
      <c r="U156" s="22" t="n">
        <v>0</v>
      </c>
      <c r="V156" s="16" t="s">
        <v>666</v>
      </c>
    </row>
    <row r="157" customFormat="false" ht="15" hidden="false" customHeight="false" outlineLevel="0" collapsed="false">
      <c r="A157" s="16" t="s">
        <v>197</v>
      </c>
      <c r="B157" s="16" t="s">
        <v>182</v>
      </c>
      <c r="C157" s="16" t="s">
        <v>194</v>
      </c>
      <c r="D157" s="16" t="s">
        <v>50</v>
      </c>
      <c r="E157" s="16" t="n">
        <v>18</v>
      </c>
      <c r="F157" s="16" t="s">
        <v>663</v>
      </c>
      <c r="G157" s="16" t="s">
        <v>663</v>
      </c>
      <c r="H157" s="21" t="s">
        <v>11</v>
      </c>
      <c r="I157" s="21" t="s">
        <v>11</v>
      </c>
      <c r="J157" s="21" t="s">
        <v>11</v>
      </c>
      <c r="K157" s="16" t="s">
        <v>663</v>
      </c>
      <c r="L157" s="16" t="s">
        <v>663</v>
      </c>
      <c r="M157" s="16" t="s">
        <v>663</v>
      </c>
      <c r="N157" s="21" t="s">
        <v>11</v>
      </c>
      <c r="O157" s="16" t="s">
        <v>664</v>
      </c>
      <c r="P157" s="16" t="s">
        <v>663</v>
      </c>
      <c r="Q157" s="21" t="s">
        <v>11</v>
      </c>
      <c r="R157" s="21" t="s">
        <v>11</v>
      </c>
      <c r="S157" s="16" t="s">
        <v>665</v>
      </c>
      <c r="T157" s="16" t="s">
        <v>197</v>
      </c>
      <c r="U157" s="22" t="n">
        <v>0</v>
      </c>
      <c r="V157" s="16" t="s">
        <v>666</v>
      </c>
    </row>
    <row r="158" customFormat="false" ht="15" hidden="false" customHeight="false" outlineLevel="0" collapsed="false">
      <c r="A158" s="16" t="s">
        <v>470</v>
      </c>
      <c r="B158" s="21" t="s">
        <v>11</v>
      </c>
      <c r="C158" s="21" t="s">
        <v>11</v>
      </c>
      <c r="D158" s="16" t="s">
        <v>398</v>
      </c>
      <c r="E158" s="21" t="s">
        <v>11</v>
      </c>
      <c r="F158" s="16" t="s">
        <v>663</v>
      </c>
      <c r="G158" s="16" t="s">
        <v>663</v>
      </c>
      <c r="H158" s="21" t="s">
        <v>11</v>
      </c>
      <c r="I158" s="21" t="s">
        <v>11</v>
      </c>
      <c r="J158" s="21" t="s">
        <v>11</v>
      </c>
      <c r="K158" s="16" t="s">
        <v>663</v>
      </c>
      <c r="L158" s="16" t="s">
        <v>663</v>
      </c>
      <c r="M158" s="16" t="s">
        <v>663</v>
      </c>
      <c r="N158" s="21" t="s">
        <v>11</v>
      </c>
      <c r="O158" s="16" t="s">
        <v>664</v>
      </c>
      <c r="P158" s="16" t="s">
        <v>663</v>
      </c>
      <c r="Q158" s="21" t="s">
        <v>11</v>
      </c>
      <c r="R158" s="21" t="s">
        <v>11</v>
      </c>
      <c r="S158" s="16" t="s">
        <v>665</v>
      </c>
      <c r="T158" s="16" t="s">
        <v>470</v>
      </c>
      <c r="U158" s="22" t="n">
        <v>0</v>
      </c>
      <c r="V158" s="16" t="s">
        <v>666</v>
      </c>
    </row>
    <row r="159" customFormat="false" ht="15" hidden="false" customHeight="false" outlineLevel="0" collapsed="false">
      <c r="A159" s="16" t="s">
        <v>354</v>
      </c>
      <c r="B159" s="21" t="s">
        <v>11</v>
      </c>
      <c r="C159" s="21" t="s">
        <v>11</v>
      </c>
      <c r="D159" s="16" t="s">
        <v>312</v>
      </c>
      <c r="E159" s="21" t="s">
        <v>11</v>
      </c>
      <c r="F159" s="16" t="s">
        <v>663</v>
      </c>
      <c r="G159" s="16" t="s">
        <v>663</v>
      </c>
      <c r="H159" s="21" t="s">
        <v>11</v>
      </c>
      <c r="I159" s="21" t="s">
        <v>11</v>
      </c>
      <c r="J159" s="21" t="s">
        <v>11</v>
      </c>
      <c r="K159" s="16" t="s">
        <v>663</v>
      </c>
      <c r="L159" s="16" t="s">
        <v>663</v>
      </c>
      <c r="M159" s="16" t="s">
        <v>663</v>
      </c>
      <c r="N159" s="21" t="s">
        <v>11</v>
      </c>
      <c r="O159" s="16" t="s">
        <v>664</v>
      </c>
      <c r="P159" s="16" t="s">
        <v>663</v>
      </c>
      <c r="Q159" s="21" t="s">
        <v>11</v>
      </c>
      <c r="R159" s="21" t="s">
        <v>11</v>
      </c>
      <c r="S159" s="16" t="s">
        <v>665</v>
      </c>
      <c r="T159" s="16" t="s">
        <v>354</v>
      </c>
      <c r="U159" s="22" t="n">
        <v>0</v>
      </c>
      <c r="V159" s="16" t="s">
        <v>666</v>
      </c>
    </row>
    <row r="160" customFormat="false" ht="15" hidden="false" customHeight="false" outlineLevel="0" collapsed="false">
      <c r="A160" s="16" t="s">
        <v>305</v>
      </c>
      <c r="B160" s="21" t="s">
        <v>11</v>
      </c>
      <c r="C160" s="21" t="s">
        <v>11</v>
      </c>
      <c r="D160" s="16" t="s">
        <v>254</v>
      </c>
      <c r="E160" s="21" t="s">
        <v>11</v>
      </c>
      <c r="F160" s="16" t="s">
        <v>663</v>
      </c>
      <c r="G160" s="16" t="s">
        <v>663</v>
      </c>
      <c r="H160" s="21" t="s">
        <v>11</v>
      </c>
      <c r="I160" s="21" t="s">
        <v>11</v>
      </c>
      <c r="J160" s="21" t="s">
        <v>11</v>
      </c>
      <c r="K160" s="16" t="s">
        <v>663</v>
      </c>
      <c r="L160" s="16" t="s">
        <v>663</v>
      </c>
      <c r="M160" s="16" t="s">
        <v>663</v>
      </c>
      <c r="N160" s="21" t="s">
        <v>11</v>
      </c>
      <c r="O160" s="16" t="s">
        <v>664</v>
      </c>
      <c r="P160" s="16" t="s">
        <v>663</v>
      </c>
      <c r="Q160" s="21" t="s">
        <v>11</v>
      </c>
      <c r="R160" s="21" t="s">
        <v>11</v>
      </c>
      <c r="S160" s="16" t="s">
        <v>665</v>
      </c>
      <c r="T160" s="16" t="s">
        <v>305</v>
      </c>
      <c r="U160" s="22" t="n">
        <v>0</v>
      </c>
      <c r="V160" s="16" t="s">
        <v>666</v>
      </c>
    </row>
    <row r="161" customFormat="false" ht="15" hidden="false" customHeight="false" outlineLevel="0" collapsed="false">
      <c r="A161" s="16" t="s">
        <v>473</v>
      </c>
      <c r="B161" s="21" t="s">
        <v>11</v>
      </c>
      <c r="C161" s="21" t="s">
        <v>11</v>
      </c>
      <c r="D161" s="16" t="s">
        <v>398</v>
      </c>
      <c r="E161" s="21" t="s">
        <v>11</v>
      </c>
      <c r="F161" s="16" t="s">
        <v>663</v>
      </c>
      <c r="G161" s="16" t="s">
        <v>663</v>
      </c>
      <c r="H161" s="21" t="s">
        <v>11</v>
      </c>
      <c r="I161" s="21" t="s">
        <v>11</v>
      </c>
      <c r="J161" s="21" t="s">
        <v>11</v>
      </c>
      <c r="K161" s="16" t="s">
        <v>663</v>
      </c>
      <c r="L161" s="16" t="s">
        <v>663</v>
      </c>
      <c r="M161" s="16" t="s">
        <v>663</v>
      </c>
      <c r="N161" s="21" t="s">
        <v>11</v>
      </c>
      <c r="O161" s="16" t="s">
        <v>664</v>
      </c>
      <c r="P161" s="16" t="s">
        <v>663</v>
      </c>
      <c r="Q161" s="21" t="s">
        <v>11</v>
      </c>
      <c r="R161" s="21" t="s">
        <v>11</v>
      </c>
      <c r="S161" s="16" t="s">
        <v>665</v>
      </c>
      <c r="T161" s="16" t="s">
        <v>473</v>
      </c>
      <c r="U161" s="22" t="n">
        <v>0</v>
      </c>
      <c r="V161" s="16" t="s">
        <v>666</v>
      </c>
    </row>
    <row r="162" customFormat="false" ht="15" hidden="false" customHeight="false" outlineLevel="0" collapsed="false">
      <c r="A162" s="16" t="s">
        <v>192</v>
      </c>
      <c r="B162" s="16" t="s">
        <v>175</v>
      </c>
      <c r="C162" s="16" t="s">
        <v>187</v>
      </c>
      <c r="D162" s="16" t="s">
        <v>50</v>
      </c>
      <c r="E162" s="16" t="n">
        <v>18</v>
      </c>
      <c r="F162" s="16" t="s">
        <v>663</v>
      </c>
      <c r="G162" s="16" t="s">
        <v>663</v>
      </c>
      <c r="H162" s="21" t="s">
        <v>11</v>
      </c>
      <c r="I162" s="21" t="s">
        <v>11</v>
      </c>
      <c r="J162" s="21" t="s">
        <v>11</v>
      </c>
      <c r="K162" s="16" t="s">
        <v>663</v>
      </c>
      <c r="L162" s="16" t="s">
        <v>663</v>
      </c>
      <c r="M162" s="16" t="s">
        <v>663</v>
      </c>
      <c r="N162" s="21" t="s">
        <v>11</v>
      </c>
      <c r="O162" s="16" t="s">
        <v>664</v>
      </c>
      <c r="P162" s="16" t="s">
        <v>663</v>
      </c>
      <c r="Q162" s="21" t="s">
        <v>11</v>
      </c>
      <c r="R162" s="21" t="s">
        <v>11</v>
      </c>
      <c r="S162" s="16" t="s">
        <v>665</v>
      </c>
      <c r="T162" s="16" t="s">
        <v>192</v>
      </c>
      <c r="U162" s="22" t="n">
        <v>0</v>
      </c>
      <c r="V162" s="16" t="s">
        <v>666</v>
      </c>
    </row>
    <row r="163" customFormat="false" ht="15" hidden="false" customHeight="false" outlineLevel="0" collapsed="false">
      <c r="A163" s="16" t="s">
        <v>85</v>
      </c>
      <c r="B163" s="16" t="s">
        <v>82</v>
      </c>
      <c r="C163" s="16" t="s">
        <v>82</v>
      </c>
      <c r="D163" s="16" t="s">
        <v>50</v>
      </c>
      <c r="E163" s="16" t="n">
        <v>18</v>
      </c>
      <c r="F163" s="16" t="s">
        <v>663</v>
      </c>
      <c r="G163" s="16" t="s">
        <v>663</v>
      </c>
      <c r="H163" s="21" t="s">
        <v>11</v>
      </c>
      <c r="I163" s="21" t="s">
        <v>11</v>
      </c>
      <c r="J163" s="21" t="s">
        <v>11</v>
      </c>
      <c r="K163" s="16" t="s">
        <v>663</v>
      </c>
      <c r="L163" s="16" t="s">
        <v>663</v>
      </c>
      <c r="M163" s="16" t="s">
        <v>663</v>
      </c>
      <c r="N163" s="21" t="s">
        <v>11</v>
      </c>
      <c r="O163" s="16" t="s">
        <v>664</v>
      </c>
      <c r="P163" s="16" t="s">
        <v>663</v>
      </c>
      <c r="Q163" s="21" t="s">
        <v>11</v>
      </c>
      <c r="R163" s="21" t="s">
        <v>11</v>
      </c>
      <c r="S163" s="16" t="s">
        <v>665</v>
      </c>
      <c r="T163" s="16" t="s">
        <v>85</v>
      </c>
      <c r="U163" s="22" t="n">
        <v>0</v>
      </c>
      <c r="V163" s="16" t="s">
        <v>666</v>
      </c>
    </row>
    <row r="164" customFormat="false" ht="15" hidden="false" customHeight="false" outlineLevel="0" collapsed="false">
      <c r="A164" s="16" t="s">
        <v>133</v>
      </c>
      <c r="B164" s="16" t="s">
        <v>117</v>
      </c>
      <c r="C164" s="16" t="s">
        <v>110</v>
      </c>
      <c r="D164" s="16" t="s">
        <v>50</v>
      </c>
      <c r="E164" s="16" t="n">
        <v>18</v>
      </c>
      <c r="F164" s="16" t="s">
        <v>663</v>
      </c>
      <c r="G164" s="16" t="s">
        <v>663</v>
      </c>
      <c r="H164" s="21" t="s">
        <v>11</v>
      </c>
      <c r="I164" s="21" t="s">
        <v>11</v>
      </c>
      <c r="J164" s="21" t="s">
        <v>11</v>
      </c>
      <c r="K164" s="16" t="s">
        <v>663</v>
      </c>
      <c r="L164" s="16" t="s">
        <v>663</v>
      </c>
      <c r="M164" s="16" t="s">
        <v>663</v>
      </c>
      <c r="N164" s="21" t="s">
        <v>11</v>
      </c>
      <c r="O164" s="16" t="s">
        <v>664</v>
      </c>
      <c r="P164" s="16" t="s">
        <v>663</v>
      </c>
      <c r="Q164" s="21" t="s">
        <v>11</v>
      </c>
      <c r="R164" s="21" t="s">
        <v>11</v>
      </c>
      <c r="S164" s="16" t="s">
        <v>665</v>
      </c>
      <c r="T164" s="16" t="s">
        <v>133</v>
      </c>
      <c r="U164" s="22" t="n">
        <v>0</v>
      </c>
      <c r="V164" s="16" t="s">
        <v>666</v>
      </c>
    </row>
    <row r="165" customFormat="false" ht="15" hidden="false" customHeight="false" outlineLevel="0" collapsed="false">
      <c r="A165" s="16" t="s">
        <v>308</v>
      </c>
      <c r="B165" s="21" t="s">
        <v>11</v>
      </c>
      <c r="C165" s="21" t="s">
        <v>11</v>
      </c>
      <c r="D165" s="16" t="s">
        <v>254</v>
      </c>
      <c r="E165" s="21" t="s">
        <v>11</v>
      </c>
      <c r="F165" s="16" t="s">
        <v>663</v>
      </c>
      <c r="G165" s="16" t="s">
        <v>663</v>
      </c>
      <c r="H165" s="21" t="s">
        <v>11</v>
      </c>
      <c r="I165" s="21" t="s">
        <v>11</v>
      </c>
      <c r="J165" s="21" t="s">
        <v>11</v>
      </c>
      <c r="K165" s="16" t="s">
        <v>663</v>
      </c>
      <c r="L165" s="16" t="s">
        <v>663</v>
      </c>
      <c r="M165" s="16" t="s">
        <v>663</v>
      </c>
      <c r="N165" s="21" t="s">
        <v>11</v>
      </c>
      <c r="O165" s="16" t="s">
        <v>664</v>
      </c>
      <c r="P165" s="16" t="s">
        <v>663</v>
      </c>
      <c r="Q165" s="21" t="s">
        <v>11</v>
      </c>
      <c r="R165" s="21" t="s">
        <v>11</v>
      </c>
      <c r="S165" s="16" t="s">
        <v>665</v>
      </c>
      <c r="T165" s="16" t="s">
        <v>308</v>
      </c>
      <c r="U165" s="22" t="n">
        <v>0</v>
      </c>
      <c r="V165" s="16" t="s">
        <v>666</v>
      </c>
    </row>
    <row r="166" customFormat="false" ht="15" hidden="false" customHeight="false" outlineLevel="0" collapsed="false">
      <c r="A166" s="16" t="s">
        <v>107</v>
      </c>
      <c r="B166" s="16" t="s">
        <v>97</v>
      </c>
      <c r="C166" s="16" t="s">
        <v>98</v>
      </c>
      <c r="D166" s="16" t="s">
        <v>50</v>
      </c>
      <c r="E166" s="16" t="n">
        <v>18</v>
      </c>
      <c r="F166" s="16" t="s">
        <v>663</v>
      </c>
      <c r="G166" s="16" t="s">
        <v>663</v>
      </c>
      <c r="H166" s="21" t="s">
        <v>11</v>
      </c>
      <c r="I166" s="21" t="s">
        <v>11</v>
      </c>
      <c r="J166" s="21" t="s">
        <v>11</v>
      </c>
      <c r="K166" s="16" t="s">
        <v>663</v>
      </c>
      <c r="L166" s="16" t="s">
        <v>663</v>
      </c>
      <c r="M166" s="16" t="s">
        <v>663</v>
      </c>
      <c r="N166" s="21" t="s">
        <v>11</v>
      </c>
      <c r="O166" s="16" t="s">
        <v>664</v>
      </c>
      <c r="P166" s="16" t="s">
        <v>663</v>
      </c>
      <c r="Q166" s="21" t="s">
        <v>11</v>
      </c>
      <c r="R166" s="21" t="s">
        <v>11</v>
      </c>
      <c r="S166" s="16" t="s">
        <v>665</v>
      </c>
      <c r="T166" s="16" t="s">
        <v>107</v>
      </c>
      <c r="U166" s="22" t="n">
        <v>0</v>
      </c>
      <c r="V166" s="16" t="s">
        <v>666</v>
      </c>
    </row>
    <row r="167" customFormat="false" ht="15" hidden="false" customHeight="false" outlineLevel="0" collapsed="false">
      <c r="A167" s="16" t="s">
        <v>249</v>
      </c>
      <c r="B167" s="16" t="s">
        <v>230</v>
      </c>
      <c r="C167" s="16" t="s">
        <v>231</v>
      </c>
      <c r="D167" s="16" t="s">
        <v>232</v>
      </c>
      <c r="E167" s="21" t="s">
        <v>11</v>
      </c>
      <c r="F167" s="16" t="s">
        <v>663</v>
      </c>
      <c r="G167" s="16" t="s">
        <v>663</v>
      </c>
      <c r="H167" s="21" t="s">
        <v>11</v>
      </c>
      <c r="I167" s="21" t="s">
        <v>11</v>
      </c>
      <c r="J167" s="16" t="s">
        <v>668</v>
      </c>
      <c r="K167" s="16" t="s">
        <v>663</v>
      </c>
      <c r="L167" s="16" t="s">
        <v>663</v>
      </c>
      <c r="M167" s="16" t="s">
        <v>663</v>
      </c>
      <c r="N167" s="21" t="s">
        <v>11</v>
      </c>
      <c r="O167" s="16" t="s">
        <v>664</v>
      </c>
      <c r="P167" s="16" t="s">
        <v>663</v>
      </c>
      <c r="Q167" s="21" t="s">
        <v>11</v>
      </c>
      <c r="R167" s="21" t="s">
        <v>11</v>
      </c>
      <c r="S167" s="16" t="s">
        <v>665</v>
      </c>
      <c r="T167" s="16" t="s">
        <v>249</v>
      </c>
      <c r="U167" s="22" t="n">
        <v>0</v>
      </c>
      <c r="V167" s="16" t="s">
        <v>666</v>
      </c>
    </row>
    <row r="168" customFormat="false" ht="15" hidden="false" customHeight="false" outlineLevel="0" collapsed="false">
      <c r="A168" s="16" t="s">
        <v>476</v>
      </c>
      <c r="B168" s="21" t="s">
        <v>11</v>
      </c>
      <c r="C168" s="21" t="s">
        <v>11</v>
      </c>
      <c r="D168" s="16" t="s">
        <v>398</v>
      </c>
      <c r="E168" s="21" t="s">
        <v>11</v>
      </c>
      <c r="F168" s="16" t="s">
        <v>663</v>
      </c>
      <c r="G168" s="16" t="s">
        <v>663</v>
      </c>
      <c r="H168" s="21" t="s">
        <v>11</v>
      </c>
      <c r="I168" s="21" t="s">
        <v>11</v>
      </c>
      <c r="J168" s="21" t="s">
        <v>11</v>
      </c>
      <c r="K168" s="16" t="s">
        <v>663</v>
      </c>
      <c r="L168" s="16" t="s">
        <v>663</v>
      </c>
      <c r="M168" s="16" t="s">
        <v>663</v>
      </c>
      <c r="N168" s="21" t="s">
        <v>11</v>
      </c>
      <c r="O168" s="16" t="s">
        <v>664</v>
      </c>
      <c r="P168" s="16" t="s">
        <v>663</v>
      </c>
      <c r="Q168" s="21" t="s">
        <v>11</v>
      </c>
      <c r="R168" s="21" t="s">
        <v>11</v>
      </c>
      <c r="S168" s="16" t="s">
        <v>665</v>
      </c>
      <c r="T168" s="16" t="s">
        <v>476</v>
      </c>
      <c r="U168" s="22" t="n">
        <v>0</v>
      </c>
      <c r="V168" s="16" t="s">
        <v>666</v>
      </c>
    </row>
    <row r="169" customFormat="false" ht="15" hidden="false" customHeight="false" outlineLevel="0" collapsed="false">
      <c r="A169" s="16" t="s">
        <v>355</v>
      </c>
      <c r="B169" s="21" t="s">
        <v>11</v>
      </c>
      <c r="C169" s="21" t="s">
        <v>11</v>
      </c>
      <c r="D169" s="16" t="s">
        <v>312</v>
      </c>
      <c r="E169" s="21" t="s">
        <v>11</v>
      </c>
      <c r="F169" s="16" t="s">
        <v>663</v>
      </c>
      <c r="G169" s="16" t="s">
        <v>663</v>
      </c>
      <c r="H169" s="21" t="s">
        <v>11</v>
      </c>
      <c r="I169" s="21" t="s">
        <v>11</v>
      </c>
      <c r="J169" s="21" t="s">
        <v>11</v>
      </c>
      <c r="K169" s="16" t="s">
        <v>663</v>
      </c>
      <c r="L169" s="16" t="s">
        <v>663</v>
      </c>
      <c r="M169" s="16" t="s">
        <v>663</v>
      </c>
      <c r="N169" s="21" t="s">
        <v>11</v>
      </c>
      <c r="O169" s="16" t="s">
        <v>664</v>
      </c>
      <c r="P169" s="16" t="s">
        <v>663</v>
      </c>
      <c r="Q169" s="21" t="s">
        <v>11</v>
      </c>
      <c r="R169" s="21" t="s">
        <v>11</v>
      </c>
      <c r="S169" s="16" t="s">
        <v>665</v>
      </c>
      <c r="T169" s="16" t="s">
        <v>355</v>
      </c>
      <c r="U169" s="22" t="n">
        <v>0</v>
      </c>
      <c r="V169" s="16" t="s">
        <v>666</v>
      </c>
    </row>
    <row r="170" customFormat="false" ht="15" hidden="false" customHeight="false" outlineLevel="0" collapsed="false">
      <c r="A170" s="16" t="s">
        <v>395</v>
      </c>
      <c r="B170" s="16" t="s">
        <v>357</v>
      </c>
      <c r="C170" s="16" t="s">
        <v>358</v>
      </c>
      <c r="D170" s="16" t="s">
        <v>359</v>
      </c>
      <c r="E170" s="16" t="n">
        <v>18</v>
      </c>
      <c r="F170" s="16" t="s">
        <v>663</v>
      </c>
      <c r="G170" s="16" t="s">
        <v>663</v>
      </c>
      <c r="H170" s="21" t="s">
        <v>11</v>
      </c>
      <c r="I170" s="21" t="s">
        <v>11</v>
      </c>
      <c r="J170" s="21" t="s">
        <v>11</v>
      </c>
      <c r="K170" s="16" t="s">
        <v>663</v>
      </c>
      <c r="L170" s="16" t="s">
        <v>663</v>
      </c>
      <c r="M170" s="16" t="s">
        <v>663</v>
      </c>
      <c r="N170" s="21" t="s">
        <v>11</v>
      </c>
      <c r="O170" s="16" t="s">
        <v>664</v>
      </c>
      <c r="P170" s="16" t="s">
        <v>663</v>
      </c>
      <c r="Q170" s="21" t="s">
        <v>11</v>
      </c>
      <c r="R170" s="21" t="s">
        <v>11</v>
      </c>
      <c r="S170" s="16" t="s">
        <v>665</v>
      </c>
      <c r="T170" s="16" t="s">
        <v>395</v>
      </c>
      <c r="U170" s="22" t="n">
        <v>0</v>
      </c>
      <c r="V170" s="16" t="s">
        <v>667</v>
      </c>
    </row>
    <row r="171" customFormat="false" ht="15" hidden="false" customHeight="false" outlineLevel="0" collapsed="false">
      <c r="A171" s="16" t="s">
        <v>151</v>
      </c>
      <c r="B171" s="16" t="s">
        <v>152</v>
      </c>
      <c r="C171" s="16" t="s">
        <v>153</v>
      </c>
      <c r="D171" s="16" t="s">
        <v>50</v>
      </c>
      <c r="E171" s="16" t="n">
        <v>18</v>
      </c>
      <c r="F171" s="16" t="s">
        <v>663</v>
      </c>
      <c r="G171" s="16" t="s">
        <v>663</v>
      </c>
      <c r="H171" s="21" t="s">
        <v>11</v>
      </c>
      <c r="I171" s="21" t="s">
        <v>11</v>
      </c>
      <c r="J171" s="21" t="s">
        <v>11</v>
      </c>
      <c r="K171" s="16" t="s">
        <v>663</v>
      </c>
      <c r="L171" s="16" t="s">
        <v>663</v>
      </c>
      <c r="M171" s="16" t="s">
        <v>663</v>
      </c>
      <c r="N171" s="21" t="s">
        <v>11</v>
      </c>
      <c r="O171" s="16" t="s">
        <v>664</v>
      </c>
      <c r="P171" s="16" t="s">
        <v>663</v>
      </c>
      <c r="Q171" s="21" t="s">
        <v>11</v>
      </c>
      <c r="R171" s="21" t="s">
        <v>11</v>
      </c>
      <c r="S171" s="16" t="s">
        <v>665</v>
      </c>
      <c r="T171" s="16" t="s">
        <v>151</v>
      </c>
      <c r="U171" s="22" t="n">
        <v>0</v>
      </c>
      <c r="V171" s="16" t="s">
        <v>666</v>
      </c>
    </row>
    <row r="172" customFormat="false" ht="15" hidden="false" customHeight="false" outlineLevel="0" collapsed="false">
      <c r="A172" s="16" t="s">
        <v>479</v>
      </c>
      <c r="B172" s="21" t="s">
        <v>11</v>
      </c>
      <c r="C172" s="21" t="s">
        <v>11</v>
      </c>
      <c r="D172" s="16" t="s">
        <v>398</v>
      </c>
      <c r="E172" s="21" t="s">
        <v>11</v>
      </c>
      <c r="F172" s="16" t="s">
        <v>663</v>
      </c>
      <c r="G172" s="16" t="s">
        <v>663</v>
      </c>
      <c r="H172" s="21" t="s">
        <v>11</v>
      </c>
      <c r="I172" s="21" t="s">
        <v>11</v>
      </c>
      <c r="J172" s="21" t="s">
        <v>11</v>
      </c>
      <c r="K172" s="16" t="s">
        <v>663</v>
      </c>
      <c r="L172" s="16" t="s">
        <v>663</v>
      </c>
      <c r="M172" s="16" t="s">
        <v>663</v>
      </c>
      <c r="N172" s="21" t="s">
        <v>11</v>
      </c>
      <c r="O172" s="16" t="s">
        <v>664</v>
      </c>
      <c r="P172" s="16" t="s">
        <v>663</v>
      </c>
      <c r="Q172" s="21" t="s">
        <v>11</v>
      </c>
      <c r="R172" s="21" t="s">
        <v>11</v>
      </c>
      <c r="S172" s="16" t="s">
        <v>665</v>
      </c>
      <c r="T172" s="16" t="s">
        <v>479</v>
      </c>
      <c r="U172" s="22" t="n">
        <v>0</v>
      </c>
      <c r="V172" s="16" t="s">
        <v>666</v>
      </c>
    </row>
    <row r="173" customFormat="false" ht="15" hidden="false" customHeight="false" outlineLevel="0" collapsed="false">
      <c r="A173" s="16" t="s">
        <v>309</v>
      </c>
      <c r="B173" s="21" t="s">
        <v>11</v>
      </c>
      <c r="C173" s="21" t="s">
        <v>11</v>
      </c>
      <c r="D173" s="16" t="s">
        <v>254</v>
      </c>
      <c r="E173" s="21" t="s">
        <v>11</v>
      </c>
      <c r="F173" s="16" t="s">
        <v>663</v>
      </c>
      <c r="G173" s="16" t="s">
        <v>663</v>
      </c>
      <c r="H173" s="21" t="s">
        <v>11</v>
      </c>
      <c r="I173" s="21" t="s">
        <v>11</v>
      </c>
      <c r="J173" s="21" t="s">
        <v>11</v>
      </c>
      <c r="K173" s="16" t="s">
        <v>663</v>
      </c>
      <c r="L173" s="16" t="s">
        <v>663</v>
      </c>
      <c r="M173" s="16" t="s">
        <v>663</v>
      </c>
      <c r="N173" s="21" t="s">
        <v>11</v>
      </c>
      <c r="O173" s="16" t="s">
        <v>664</v>
      </c>
      <c r="P173" s="16" t="s">
        <v>663</v>
      </c>
      <c r="Q173" s="21" t="s">
        <v>11</v>
      </c>
      <c r="R173" s="21" t="s">
        <v>11</v>
      </c>
      <c r="S173" s="16" t="s">
        <v>665</v>
      </c>
      <c r="T173" s="16" t="s">
        <v>309</v>
      </c>
      <c r="U173" s="22" t="n">
        <v>0</v>
      </c>
      <c r="V173" s="16" t="s">
        <v>666</v>
      </c>
    </row>
    <row r="174" customFormat="false" ht="15" hidden="false" customHeight="false" outlineLevel="0" collapsed="false">
      <c r="A174" s="16" t="s">
        <v>670</v>
      </c>
      <c r="B174" s="21" t="s">
        <v>11</v>
      </c>
      <c r="C174" s="21" t="s">
        <v>11</v>
      </c>
      <c r="D174" s="21" t="s">
        <v>11</v>
      </c>
      <c r="E174" s="21" t="s">
        <v>11</v>
      </c>
      <c r="F174" s="21" t="s">
        <v>11</v>
      </c>
      <c r="G174" s="21" t="s">
        <v>11</v>
      </c>
      <c r="H174" s="21" t="s">
        <v>11</v>
      </c>
      <c r="I174" s="21" t="s">
        <v>11</v>
      </c>
      <c r="J174" s="21" t="s">
        <v>11</v>
      </c>
      <c r="K174" s="21" t="s">
        <v>11</v>
      </c>
      <c r="L174" s="21" t="s">
        <v>11</v>
      </c>
      <c r="M174" s="21" t="s">
        <v>11</v>
      </c>
      <c r="N174" s="21" t="s">
        <v>11</v>
      </c>
      <c r="O174" s="16" t="s">
        <v>664</v>
      </c>
      <c r="P174" s="16" t="s">
        <v>57</v>
      </c>
      <c r="Q174" s="21" t="s">
        <v>11</v>
      </c>
      <c r="R174" s="21" t="s">
        <v>11</v>
      </c>
      <c r="S174" s="16" t="s">
        <v>671</v>
      </c>
      <c r="T174" s="16" t="s">
        <v>57</v>
      </c>
      <c r="U174" s="22" t="n">
        <v>10</v>
      </c>
      <c r="V174" s="16" t="s">
        <v>666</v>
      </c>
    </row>
    <row r="176" customFormat="false" ht="15" hidden="false" customHeight="false" outlineLevel="0" collapsed="false">
      <c r="A176" s="2" t="s">
        <v>672</v>
      </c>
      <c r="B176" s="23" t="n">
        <f aca="false">COUNTA(A2:A174)</f>
        <v>173</v>
      </c>
    </row>
    <row r="177" customFormat="false" ht="15" hidden="false" customHeight="false" outlineLevel="0" collapsed="false">
      <c r="A177" s="2" t="s">
        <v>673</v>
      </c>
      <c r="B177" s="23" t="n">
        <f aca="false">COUNTIF(S2:S174,"Migrado*")</f>
        <v>172</v>
      </c>
    </row>
    <row r="178" customFormat="false" ht="15" hidden="false" customHeight="false" outlineLevel="0" collapsed="false">
      <c r="A178" s="2" t="s">
        <v>674</v>
      </c>
      <c r="B178" s="23" t="n">
        <f aca="false">COUNTIF(S2:S174,"Abandonado*")</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3" min="3" style="0" width="44"/>
    <col collapsed="false" customWidth="true" hidden="false" outlineLevel="0" max="4" min="4" style="0" width="26"/>
    <col collapsed="false" customWidth="true" hidden="false" outlineLevel="0" max="5" min="5" style="0" width="34"/>
    <col collapsed="false" customWidth="true" hidden="false" outlineLevel="0" max="6" min="6" style="0" width="40"/>
    <col collapsed="false" customWidth="true" hidden="false" outlineLevel="0" max="7" min="7" style="0" width="24"/>
    <col collapsed="false" customWidth="true" hidden="false" outlineLevel="0" max="9" min="8" style="0" width="40"/>
  </cols>
  <sheetData>
    <row r="1" customFormat="false" ht="15" hidden="false" customHeight="false" outlineLevel="0" collapsed="false">
      <c r="A1" s="20" t="s">
        <v>675</v>
      </c>
      <c r="B1" s="20" t="s">
        <v>676</v>
      </c>
      <c r="C1" s="20" t="s">
        <v>19</v>
      </c>
      <c r="D1" s="20" t="s">
        <v>677</v>
      </c>
      <c r="E1" s="20" t="s">
        <v>678</v>
      </c>
      <c r="F1" s="20" t="s">
        <v>679</v>
      </c>
      <c r="G1" s="20" t="s">
        <v>680</v>
      </c>
      <c r="H1" s="20" t="s">
        <v>681</v>
      </c>
      <c r="I1" s="20" t="s">
        <v>489</v>
      </c>
    </row>
    <row r="2" customFormat="false" ht="23.85" hidden="false" customHeight="false" outlineLevel="0" collapsed="false">
      <c r="A2" s="3" t="s">
        <v>682</v>
      </c>
      <c r="B2" s="3" t="s">
        <v>683</v>
      </c>
      <c r="C2" s="3" t="s">
        <v>684</v>
      </c>
      <c r="D2" s="3" t="s">
        <v>685</v>
      </c>
      <c r="E2" s="4" t="s">
        <v>11</v>
      </c>
      <c r="F2" s="3" t="s">
        <v>686</v>
      </c>
      <c r="G2" s="3" t="s">
        <v>687</v>
      </c>
      <c r="H2" s="3" t="s">
        <v>57</v>
      </c>
      <c r="I2" s="3" t="s">
        <v>688</v>
      </c>
    </row>
    <row r="3" customFormat="false" ht="23.85" hidden="false" customHeight="false" outlineLevel="0" collapsed="false">
      <c r="A3" s="3" t="s">
        <v>689</v>
      </c>
      <c r="B3" s="3" t="s">
        <v>683</v>
      </c>
      <c r="C3" s="3" t="s">
        <v>684</v>
      </c>
      <c r="D3" s="3" t="s">
        <v>690</v>
      </c>
      <c r="E3" s="4" t="s">
        <v>11</v>
      </c>
      <c r="F3" s="3" t="s">
        <v>691</v>
      </c>
      <c r="G3" s="3" t="s">
        <v>687</v>
      </c>
      <c r="H3" s="3" t="s">
        <v>57</v>
      </c>
      <c r="I3" s="3" t="s">
        <v>692</v>
      </c>
    </row>
    <row r="4" customFormat="false" ht="23.85" hidden="false" customHeight="false" outlineLevel="0" collapsed="false">
      <c r="A4" s="3" t="s">
        <v>693</v>
      </c>
      <c r="B4" s="3" t="s">
        <v>683</v>
      </c>
      <c r="C4" s="3" t="s">
        <v>684</v>
      </c>
      <c r="D4" s="3" t="s">
        <v>690</v>
      </c>
      <c r="E4" s="4" t="s">
        <v>11</v>
      </c>
      <c r="F4" s="3" t="s">
        <v>694</v>
      </c>
      <c r="G4" s="3" t="s">
        <v>687</v>
      </c>
      <c r="H4" s="3" t="s">
        <v>57</v>
      </c>
      <c r="I4" s="3" t="s">
        <v>695</v>
      </c>
    </row>
    <row r="5" customFormat="false" ht="23.85" hidden="false" customHeight="false" outlineLevel="0" collapsed="false">
      <c r="A5" s="3" t="s">
        <v>696</v>
      </c>
      <c r="B5" s="3" t="s">
        <v>683</v>
      </c>
      <c r="C5" s="3" t="s">
        <v>684</v>
      </c>
      <c r="D5" s="3" t="s">
        <v>690</v>
      </c>
      <c r="E5" s="4" t="s">
        <v>11</v>
      </c>
      <c r="F5" s="3" t="s">
        <v>697</v>
      </c>
      <c r="G5" s="3" t="s">
        <v>687</v>
      </c>
      <c r="H5" s="3" t="s">
        <v>57</v>
      </c>
      <c r="I5" s="3" t="s">
        <v>698</v>
      </c>
    </row>
    <row r="6" customFormat="false" ht="23.85" hidden="false" customHeight="false" outlineLevel="0" collapsed="false">
      <c r="A6" s="3" t="s">
        <v>699</v>
      </c>
      <c r="B6" s="3" t="s">
        <v>683</v>
      </c>
      <c r="C6" s="3" t="s">
        <v>684</v>
      </c>
      <c r="D6" s="3" t="s">
        <v>690</v>
      </c>
      <c r="E6" s="4" t="s">
        <v>11</v>
      </c>
      <c r="F6" s="3" t="s">
        <v>700</v>
      </c>
      <c r="G6" s="3" t="s">
        <v>687</v>
      </c>
      <c r="H6" s="3" t="s">
        <v>57</v>
      </c>
      <c r="I6" s="3" t="s">
        <v>698</v>
      </c>
    </row>
    <row r="7" customFormat="false" ht="23.85" hidden="false" customHeight="false" outlineLevel="0" collapsed="false">
      <c r="A7" s="3" t="s">
        <v>701</v>
      </c>
      <c r="B7" s="3" t="s">
        <v>702</v>
      </c>
      <c r="C7" s="3" t="s">
        <v>395</v>
      </c>
      <c r="D7" s="3" t="s">
        <v>703</v>
      </c>
      <c r="E7" s="4" t="s">
        <v>704</v>
      </c>
      <c r="F7" s="4" t="s">
        <v>705</v>
      </c>
      <c r="G7" s="3" t="s">
        <v>706</v>
      </c>
      <c r="H7" s="3" t="s">
        <v>707</v>
      </c>
      <c r="I7" s="3" t="s">
        <v>57</v>
      </c>
    </row>
    <row r="8" customFormat="false" ht="23.85" hidden="false" customHeight="false" outlineLevel="0" collapsed="false">
      <c r="A8" s="3" t="s">
        <v>708</v>
      </c>
      <c r="B8" s="3" t="s">
        <v>702</v>
      </c>
      <c r="C8" s="3" t="s">
        <v>356</v>
      </c>
      <c r="D8" s="3" t="s">
        <v>703</v>
      </c>
      <c r="E8" s="4" t="s">
        <v>704</v>
      </c>
      <c r="F8" s="4" t="s">
        <v>705</v>
      </c>
      <c r="G8" s="3" t="s">
        <v>706</v>
      </c>
      <c r="H8" s="3" t="s">
        <v>707</v>
      </c>
      <c r="I8" s="3" t="s">
        <v>57</v>
      </c>
    </row>
    <row r="9" customFormat="false" ht="23.85" hidden="false" customHeight="false" outlineLevel="0" collapsed="false">
      <c r="A9" s="3" t="s">
        <v>708</v>
      </c>
      <c r="B9" s="3" t="s">
        <v>702</v>
      </c>
      <c r="C9" s="3" t="s">
        <v>365</v>
      </c>
      <c r="D9" s="3" t="s">
        <v>703</v>
      </c>
      <c r="E9" s="4" t="s">
        <v>704</v>
      </c>
      <c r="F9" s="4" t="s">
        <v>705</v>
      </c>
      <c r="G9" s="3" t="s">
        <v>706</v>
      </c>
      <c r="H9" s="3" t="s">
        <v>707</v>
      </c>
      <c r="I9" s="3" t="s">
        <v>57</v>
      </c>
    </row>
    <row r="10" customFormat="false" ht="23.85" hidden="false" customHeight="false" outlineLevel="0" collapsed="false">
      <c r="A10" s="3" t="s">
        <v>708</v>
      </c>
      <c r="B10" s="3" t="s">
        <v>702</v>
      </c>
      <c r="C10" s="3" t="s">
        <v>367</v>
      </c>
      <c r="D10" s="3" t="s">
        <v>703</v>
      </c>
      <c r="E10" s="4" t="s">
        <v>704</v>
      </c>
      <c r="F10" s="4" t="s">
        <v>705</v>
      </c>
      <c r="G10" s="3" t="s">
        <v>706</v>
      </c>
      <c r="H10" s="3" t="s">
        <v>707</v>
      </c>
      <c r="I10" s="3" t="s">
        <v>57</v>
      </c>
    </row>
    <row r="11" customFormat="false" ht="23.85" hidden="false" customHeight="false" outlineLevel="0" collapsed="false">
      <c r="A11" s="3" t="s">
        <v>708</v>
      </c>
      <c r="B11" s="3" t="s">
        <v>702</v>
      </c>
      <c r="C11" s="3" t="s">
        <v>371</v>
      </c>
      <c r="D11" s="3" t="s">
        <v>703</v>
      </c>
      <c r="E11" s="4" t="s">
        <v>704</v>
      </c>
      <c r="F11" s="4" t="s">
        <v>705</v>
      </c>
      <c r="G11" s="3" t="s">
        <v>706</v>
      </c>
      <c r="H11" s="3" t="s">
        <v>707</v>
      </c>
      <c r="I11" s="3" t="s">
        <v>57</v>
      </c>
    </row>
    <row r="12" customFormat="false" ht="23.85" hidden="false" customHeight="false" outlineLevel="0" collapsed="false">
      <c r="A12" s="3" t="s">
        <v>708</v>
      </c>
      <c r="B12" s="3" t="s">
        <v>702</v>
      </c>
      <c r="C12" s="3" t="s">
        <v>373</v>
      </c>
      <c r="D12" s="3" t="s">
        <v>703</v>
      </c>
      <c r="E12" s="4" t="s">
        <v>704</v>
      </c>
      <c r="F12" s="4" t="s">
        <v>705</v>
      </c>
      <c r="G12" s="3" t="s">
        <v>706</v>
      </c>
      <c r="H12" s="3" t="s">
        <v>707</v>
      </c>
      <c r="I12" s="3" t="s">
        <v>57</v>
      </c>
    </row>
    <row r="13" customFormat="false" ht="23.85" hidden="false" customHeight="false" outlineLevel="0" collapsed="false">
      <c r="A13" s="3" t="s">
        <v>709</v>
      </c>
      <c r="B13" s="3" t="s">
        <v>702</v>
      </c>
      <c r="C13" s="3" t="s">
        <v>363</v>
      </c>
      <c r="D13" s="3" t="s">
        <v>703</v>
      </c>
      <c r="E13" s="4" t="s">
        <v>704</v>
      </c>
      <c r="F13" s="4" t="s">
        <v>705</v>
      </c>
      <c r="G13" s="3" t="s">
        <v>706</v>
      </c>
      <c r="H13" s="3" t="s">
        <v>707</v>
      </c>
      <c r="I13" s="3" t="s">
        <v>57</v>
      </c>
    </row>
    <row r="14" customFormat="false" ht="23.85" hidden="false" customHeight="false" outlineLevel="0" collapsed="false">
      <c r="A14" s="3" t="s">
        <v>709</v>
      </c>
      <c r="B14" s="3" t="s">
        <v>702</v>
      </c>
      <c r="C14" s="3" t="s">
        <v>369</v>
      </c>
      <c r="D14" s="3" t="s">
        <v>703</v>
      </c>
      <c r="E14" s="4" t="s">
        <v>704</v>
      </c>
      <c r="F14" s="4" t="s">
        <v>705</v>
      </c>
      <c r="G14" s="3" t="s">
        <v>706</v>
      </c>
      <c r="H14" s="3" t="s">
        <v>707</v>
      </c>
      <c r="I14" s="3" t="s">
        <v>57</v>
      </c>
    </row>
    <row r="15" customFormat="false" ht="23.85" hidden="false" customHeight="false" outlineLevel="0" collapsed="false">
      <c r="A15" s="3" t="s">
        <v>709</v>
      </c>
      <c r="B15" s="3" t="s">
        <v>702</v>
      </c>
      <c r="C15" s="3" t="s">
        <v>375</v>
      </c>
      <c r="D15" s="3" t="s">
        <v>703</v>
      </c>
      <c r="E15" s="4" t="s">
        <v>704</v>
      </c>
      <c r="F15" s="4" t="s">
        <v>705</v>
      </c>
      <c r="G15" s="3" t="s">
        <v>706</v>
      </c>
      <c r="H15" s="3" t="s">
        <v>707</v>
      </c>
      <c r="I15" s="3" t="s">
        <v>57</v>
      </c>
    </row>
    <row r="16" customFormat="false" ht="23.85" hidden="false" customHeight="false" outlineLevel="0" collapsed="false">
      <c r="A16" s="3" t="s">
        <v>709</v>
      </c>
      <c r="B16" s="3" t="s">
        <v>702</v>
      </c>
      <c r="C16" s="3" t="s">
        <v>377</v>
      </c>
      <c r="D16" s="3" t="s">
        <v>703</v>
      </c>
      <c r="E16" s="4" t="s">
        <v>704</v>
      </c>
      <c r="F16" s="4" t="s">
        <v>705</v>
      </c>
      <c r="G16" s="3" t="s">
        <v>706</v>
      </c>
      <c r="H16" s="3" t="s">
        <v>707</v>
      </c>
      <c r="I16" s="3" t="s">
        <v>57</v>
      </c>
    </row>
    <row r="17" customFormat="false" ht="23.85" hidden="false" customHeight="false" outlineLevel="0" collapsed="false">
      <c r="A17" s="3" t="s">
        <v>709</v>
      </c>
      <c r="B17" s="3" t="s">
        <v>702</v>
      </c>
      <c r="C17" s="3" t="s">
        <v>379</v>
      </c>
      <c r="D17" s="3" t="s">
        <v>703</v>
      </c>
      <c r="E17" s="4" t="s">
        <v>704</v>
      </c>
      <c r="F17" s="4" t="s">
        <v>705</v>
      </c>
      <c r="G17" s="3" t="s">
        <v>706</v>
      </c>
      <c r="H17" s="3" t="s">
        <v>707</v>
      </c>
      <c r="I17" s="3" t="s">
        <v>57</v>
      </c>
    </row>
    <row r="18" customFormat="false" ht="23.85" hidden="false" customHeight="false" outlineLevel="0" collapsed="false">
      <c r="A18" s="3" t="s">
        <v>709</v>
      </c>
      <c r="B18" s="3" t="s">
        <v>702</v>
      </c>
      <c r="C18" s="3" t="s">
        <v>381</v>
      </c>
      <c r="D18" s="3" t="s">
        <v>703</v>
      </c>
      <c r="E18" s="4" t="s">
        <v>704</v>
      </c>
      <c r="F18" s="4" t="s">
        <v>705</v>
      </c>
      <c r="G18" s="3" t="s">
        <v>706</v>
      </c>
      <c r="H18" s="3" t="s">
        <v>707</v>
      </c>
      <c r="I18" s="3" t="s">
        <v>57</v>
      </c>
    </row>
    <row r="19" customFormat="false" ht="23.85" hidden="false" customHeight="false" outlineLevel="0" collapsed="false">
      <c r="A19" s="3" t="s">
        <v>709</v>
      </c>
      <c r="B19" s="3" t="s">
        <v>702</v>
      </c>
      <c r="C19" s="3" t="s">
        <v>383</v>
      </c>
      <c r="D19" s="3" t="s">
        <v>703</v>
      </c>
      <c r="E19" s="4" t="s">
        <v>704</v>
      </c>
      <c r="F19" s="4" t="s">
        <v>705</v>
      </c>
      <c r="G19" s="3" t="s">
        <v>706</v>
      </c>
      <c r="H19" s="3" t="s">
        <v>707</v>
      </c>
      <c r="I19" s="3" t="s">
        <v>57</v>
      </c>
    </row>
    <row r="20" customFormat="false" ht="23.85" hidden="false" customHeight="false" outlineLevel="0" collapsed="false">
      <c r="A20" s="3" t="s">
        <v>709</v>
      </c>
      <c r="B20" s="3" t="s">
        <v>702</v>
      </c>
      <c r="C20" s="3" t="s">
        <v>385</v>
      </c>
      <c r="D20" s="3" t="s">
        <v>703</v>
      </c>
      <c r="E20" s="4" t="s">
        <v>704</v>
      </c>
      <c r="F20" s="4" t="s">
        <v>705</v>
      </c>
      <c r="G20" s="3" t="s">
        <v>706</v>
      </c>
      <c r="H20" s="3" t="s">
        <v>707</v>
      </c>
      <c r="I20" s="3" t="s">
        <v>57</v>
      </c>
    </row>
    <row r="21" customFormat="false" ht="23.85" hidden="false" customHeight="false" outlineLevel="0" collapsed="false">
      <c r="A21" s="3" t="s">
        <v>709</v>
      </c>
      <c r="B21" s="3" t="s">
        <v>702</v>
      </c>
      <c r="C21" s="3" t="s">
        <v>387</v>
      </c>
      <c r="D21" s="3" t="s">
        <v>703</v>
      </c>
      <c r="E21" s="4" t="s">
        <v>704</v>
      </c>
      <c r="F21" s="4" t="s">
        <v>705</v>
      </c>
      <c r="G21" s="3" t="s">
        <v>706</v>
      </c>
      <c r="H21" s="3" t="s">
        <v>707</v>
      </c>
      <c r="I21" s="3" t="s">
        <v>57</v>
      </c>
    </row>
    <row r="22" customFormat="false" ht="23.85" hidden="false" customHeight="false" outlineLevel="0" collapsed="false">
      <c r="A22" s="3" t="s">
        <v>709</v>
      </c>
      <c r="B22" s="3" t="s">
        <v>702</v>
      </c>
      <c r="C22" s="3" t="s">
        <v>389</v>
      </c>
      <c r="D22" s="3" t="s">
        <v>703</v>
      </c>
      <c r="E22" s="4" t="s">
        <v>704</v>
      </c>
      <c r="F22" s="4" t="s">
        <v>705</v>
      </c>
      <c r="G22" s="3" t="s">
        <v>706</v>
      </c>
      <c r="H22" s="3" t="s">
        <v>707</v>
      </c>
      <c r="I22" s="3" t="s">
        <v>57</v>
      </c>
    </row>
    <row r="23" customFormat="false" ht="23.85" hidden="false" customHeight="false" outlineLevel="0" collapsed="false">
      <c r="A23" s="3" t="s">
        <v>709</v>
      </c>
      <c r="B23" s="3" t="s">
        <v>702</v>
      </c>
      <c r="C23" s="3" t="s">
        <v>391</v>
      </c>
      <c r="D23" s="3" t="s">
        <v>703</v>
      </c>
      <c r="E23" s="4" t="s">
        <v>704</v>
      </c>
      <c r="F23" s="4" t="s">
        <v>705</v>
      </c>
      <c r="G23" s="3" t="s">
        <v>706</v>
      </c>
      <c r="H23" s="3" t="s">
        <v>707</v>
      </c>
      <c r="I23" s="3" t="s">
        <v>57</v>
      </c>
    </row>
    <row r="24" customFormat="false" ht="23.85" hidden="false" customHeight="false" outlineLevel="0" collapsed="false">
      <c r="A24" s="3" t="s">
        <v>709</v>
      </c>
      <c r="B24" s="3" t="s">
        <v>702</v>
      </c>
      <c r="C24" s="3" t="s">
        <v>393</v>
      </c>
      <c r="D24" s="3" t="s">
        <v>703</v>
      </c>
      <c r="E24" s="4" t="s">
        <v>704</v>
      </c>
      <c r="F24" s="4" t="s">
        <v>705</v>
      </c>
      <c r="G24" s="3" t="s">
        <v>706</v>
      </c>
      <c r="H24" s="3" t="s">
        <v>707</v>
      </c>
      <c r="I24" s="3" t="s">
        <v>57</v>
      </c>
    </row>
    <row r="25" customFormat="false" ht="23.85" hidden="false" customHeight="false" outlineLevel="0" collapsed="false">
      <c r="A25" s="3" t="s">
        <v>710</v>
      </c>
      <c r="B25" s="3" t="s">
        <v>711</v>
      </c>
      <c r="C25" s="3" t="s">
        <v>397</v>
      </c>
      <c r="D25" s="3" t="s">
        <v>712</v>
      </c>
      <c r="E25" s="4" t="s">
        <v>704</v>
      </c>
      <c r="F25" s="4" t="s">
        <v>705</v>
      </c>
      <c r="G25" s="3" t="s">
        <v>706</v>
      </c>
      <c r="H25" s="3" t="s">
        <v>713</v>
      </c>
      <c r="I25" s="3" t="s">
        <v>714</v>
      </c>
    </row>
    <row r="26" customFormat="false" ht="23.85" hidden="false" customHeight="false" outlineLevel="0" collapsed="false">
      <c r="A26" s="3" t="s">
        <v>710</v>
      </c>
      <c r="B26" s="3" t="s">
        <v>711</v>
      </c>
      <c r="C26" s="3" t="s">
        <v>418</v>
      </c>
      <c r="D26" s="3" t="s">
        <v>712</v>
      </c>
      <c r="E26" s="4" t="s">
        <v>704</v>
      </c>
      <c r="F26" s="4" t="s">
        <v>705</v>
      </c>
      <c r="G26" s="3" t="s">
        <v>706</v>
      </c>
      <c r="H26" s="3" t="s">
        <v>715</v>
      </c>
      <c r="I26" s="3" t="s">
        <v>714</v>
      </c>
    </row>
    <row r="27" customFormat="false" ht="23.85" hidden="false" customHeight="false" outlineLevel="0" collapsed="false">
      <c r="A27" s="3" t="s">
        <v>710</v>
      </c>
      <c r="B27" s="3" t="s">
        <v>711</v>
      </c>
      <c r="C27" s="3" t="s">
        <v>431</v>
      </c>
      <c r="D27" s="3" t="s">
        <v>703</v>
      </c>
      <c r="E27" s="4" t="s">
        <v>704</v>
      </c>
      <c r="F27" s="4" t="s">
        <v>705</v>
      </c>
      <c r="G27" s="3" t="s">
        <v>706</v>
      </c>
      <c r="H27" s="3" t="s">
        <v>716</v>
      </c>
      <c r="I27" s="3" t="s">
        <v>57</v>
      </c>
    </row>
    <row r="28" customFormat="false" ht="23.85" hidden="false" customHeight="false" outlineLevel="0" collapsed="false">
      <c r="A28" s="3" t="s">
        <v>710</v>
      </c>
      <c r="B28" s="3" t="s">
        <v>711</v>
      </c>
      <c r="C28" s="3" t="s">
        <v>479</v>
      </c>
      <c r="D28" s="3" t="s">
        <v>703</v>
      </c>
      <c r="E28" s="4" t="s">
        <v>704</v>
      </c>
      <c r="F28" s="4" t="s">
        <v>705</v>
      </c>
      <c r="G28" s="3" t="s">
        <v>706</v>
      </c>
      <c r="H28" s="3" t="s">
        <v>716</v>
      </c>
      <c r="I28" s="3" t="s">
        <v>57</v>
      </c>
    </row>
    <row r="29" customFormat="false" ht="23.85" hidden="false" customHeight="false" outlineLevel="0" collapsed="false">
      <c r="A29" s="3" t="s">
        <v>717</v>
      </c>
      <c r="B29" s="3" t="s">
        <v>711</v>
      </c>
      <c r="C29" s="3" t="s">
        <v>440</v>
      </c>
      <c r="D29" s="3" t="s">
        <v>712</v>
      </c>
      <c r="E29" s="4" t="s">
        <v>704</v>
      </c>
      <c r="F29" s="4" t="s">
        <v>705</v>
      </c>
      <c r="G29" s="3" t="s">
        <v>706</v>
      </c>
      <c r="H29" s="3" t="s">
        <v>718</v>
      </c>
      <c r="I29" s="3" t="s">
        <v>714</v>
      </c>
    </row>
    <row r="30" customFormat="false" ht="23.85" hidden="false" customHeight="false" outlineLevel="0" collapsed="false">
      <c r="A30" s="3" t="s">
        <v>717</v>
      </c>
      <c r="B30" s="3" t="s">
        <v>711</v>
      </c>
      <c r="C30" s="3" t="s">
        <v>448</v>
      </c>
      <c r="D30" s="3" t="s">
        <v>703</v>
      </c>
      <c r="E30" s="4" t="s">
        <v>704</v>
      </c>
      <c r="F30" s="4" t="s">
        <v>705</v>
      </c>
      <c r="G30" s="3" t="s">
        <v>706</v>
      </c>
      <c r="H30" s="3" t="s">
        <v>716</v>
      </c>
      <c r="I30" s="3" t="s">
        <v>57</v>
      </c>
    </row>
    <row r="31" customFormat="false" ht="23.85" hidden="false" customHeight="false" outlineLevel="0" collapsed="false">
      <c r="A31" s="3" t="s">
        <v>719</v>
      </c>
      <c r="B31" s="3" t="s">
        <v>711</v>
      </c>
      <c r="C31" s="3" t="s">
        <v>470</v>
      </c>
      <c r="D31" s="3" t="s">
        <v>703</v>
      </c>
      <c r="E31" s="4" t="s">
        <v>704</v>
      </c>
      <c r="F31" s="4" t="s">
        <v>705</v>
      </c>
      <c r="G31" s="3" t="s">
        <v>706</v>
      </c>
      <c r="H31" s="3" t="s">
        <v>716</v>
      </c>
      <c r="I31" s="3" t="s">
        <v>57</v>
      </c>
    </row>
    <row r="32" customFormat="false" ht="23.85" hidden="false" customHeight="false" outlineLevel="0" collapsed="false">
      <c r="A32" s="3" t="s">
        <v>719</v>
      </c>
      <c r="B32" s="3" t="s">
        <v>711</v>
      </c>
      <c r="C32" s="3" t="s">
        <v>473</v>
      </c>
      <c r="D32" s="3" t="s">
        <v>712</v>
      </c>
      <c r="E32" s="4" t="s">
        <v>704</v>
      </c>
      <c r="F32" s="4" t="s">
        <v>705</v>
      </c>
      <c r="G32" s="3" t="s">
        <v>706</v>
      </c>
      <c r="H32" s="3" t="s">
        <v>720</v>
      </c>
      <c r="I32" s="3" t="s">
        <v>714</v>
      </c>
    </row>
    <row r="33" customFormat="false" ht="23.85" hidden="false" customHeight="false" outlineLevel="0" collapsed="false">
      <c r="A33" s="3" t="s">
        <v>721</v>
      </c>
      <c r="B33" s="3" t="s">
        <v>711</v>
      </c>
      <c r="C33" s="3" t="s">
        <v>407</v>
      </c>
      <c r="D33" s="3" t="s">
        <v>712</v>
      </c>
      <c r="E33" s="4" t="s">
        <v>704</v>
      </c>
      <c r="F33" s="4" t="s">
        <v>705</v>
      </c>
      <c r="G33" s="3" t="s">
        <v>706</v>
      </c>
      <c r="H33" s="3" t="s">
        <v>722</v>
      </c>
      <c r="I33" s="3" t="s">
        <v>714</v>
      </c>
    </row>
    <row r="34" customFormat="false" ht="23.85" hidden="false" customHeight="false" outlineLevel="0" collapsed="false">
      <c r="A34" s="3" t="s">
        <v>721</v>
      </c>
      <c r="B34" s="3" t="s">
        <v>711</v>
      </c>
      <c r="C34" s="3" t="s">
        <v>426</v>
      </c>
      <c r="D34" s="3" t="s">
        <v>703</v>
      </c>
      <c r="E34" s="4" t="s">
        <v>704</v>
      </c>
      <c r="F34" s="4" t="s">
        <v>705</v>
      </c>
      <c r="G34" s="3" t="s">
        <v>706</v>
      </c>
      <c r="H34" s="3" t="s">
        <v>716</v>
      </c>
      <c r="I34" s="3" t="s">
        <v>57</v>
      </c>
    </row>
    <row r="35" customFormat="false" ht="23.85" hidden="false" customHeight="false" outlineLevel="0" collapsed="false">
      <c r="A35" s="3" t="s">
        <v>721</v>
      </c>
      <c r="B35" s="3" t="s">
        <v>711</v>
      </c>
      <c r="C35" s="3" t="s">
        <v>443</v>
      </c>
      <c r="D35" s="3" t="s">
        <v>712</v>
      </c>
      <c r="E35" s="4" t="s">
        <v>704</v>
      </c>
      <c r="F35" s="4" t="s">
        <v>705</v>
      </c>
      <c r="G35" s="3" t="s">
        <v>706</v>
      </c>
      <c r="H35" s="3" t="s">
        <v>723</v>
      </c>
      <c r="I35" s="3" t="s">
        <v>714</v>
      </c>
    </row>
    <row r="36" customFormat="false" ht="23.85" hidden="false" customHeight="false" outlineLevel="0" collapsed="false">
      <c r="A36" s="3" t="s">
        <v>721</v>
      </c>
      <c r="B36" s="3" t="s">
        <v>711</v>
      </c>
      <c r="C36" s="3" t="s">
        <v>462</v>
      </c>
      <c r="D36" s="3" t="s">
        <v>712</v>
      </c>
      <c r="E36" s="4" t="s">
        <v>704</v>
      </c>
      <c r="F36" s="4" t="s">
        <v>705</v>
      </c>
      <c r="G36" s="3" t="s">
        <v>706</v>
      </c>
      <c r="H36" s="3" t="s">
        <v>724</v>
      </c>
      <c r="I36" s="3" t="s">
        <v>714</v>
      </c>
    </row>
    <row r="37" customFormat="false" ht="23.85" hidden="false" customHeight="false" outlineLevel="0" collapsed="false">
      <c r="A37" s="3" t="s">
        <v>725</v>
      </c>
      <c r="B37" s="3" t="s">
        <v>711</v>
      </c>
      <c r="C37" s="3" t="s">
        <v>434</v>
      </c>
      <c r="D37" s="3" t="s">
        <v>712</v>
      </c>
      <c r="E37" s="4" t="s">
        <v>704</v>
      </c>
      <c r="F37" s="4" t="s">
        <v>705</v>
      </c>
      <c r="G37" s="3" t="s">
        <v>706</v>
      </c>
      <c r="H37" s="3" t="s">
        <v>726</v>
      </c>
      <c r="I37" s="3" t="s">
        <v>714</v>
      </c>
    </row>
    <row r="38" customFormat="false" ht="23.85" hidden="false" customHeight="false" outlineLevel="0" collapsed="false">
      <c r="A38" s="3" t="s">
        <v>725</v>
      </c>
      <c r="B38" s="3" t="s">
        <v>711</v>
      </c>
      <c r="C38" s="3" t="s">
        <v>437</v>
      </c>
      <c r="D38" s="3" t="s">
        <v>703</v>
      </c>
      <c r="E38" s="4" t="s">
        <v>704</v>
      </c>
      <c r="F38" s="4" t="s">
        <v>705</v>
      </c>
      <c r="G38" s="3" t="s">
        <v>706</v>
      </c>
      <c r="H38" s="3" t="s">
        <v>716</v>
      </c>
      <c r="I38" s="3" t="s">
        <v>57</v>
      </c>
    </row>
    <row r="39" customFormat="false" ht="23.85" hidden="false" customHeight="false" outlineLevel="0" collapsed="false">
      <c r="A39" s="3" t="s">
        <v>727</v>
      </c>
      <c r="B39" s="3" t="s">
        <v>711</v>
      </c>
      <c r="C39" s="3" t="s">
        <v>410</v>
      </c>
      <c r="D39" s="3" t="s">
        <v>703</v>
      </c>
      <c r="E39" s="4" t="s">
        <v>704</v>
      </c>
      <c r="F39" s="4" t="s">
        <v>705</v>
      </c>
      <c r="G39" s="3" t="s">
        <v>706</v>
      </c>
      <c r="H39" s="3" t="s">
        <v>716</v>
      </c>
      <c r="I39" s="3" t="s">
        <v>57</v>
      </c>
    </row>
    <row r="40" customFormat="false" ht="23.85" hidden="false" customHeight="false" outlineLevel="0" collapsed="false">
      <c r="A40" s="3" t="s">
        <v>727</v>
      </c>
      <c r="B40" s="3" t="s">
        <v>711</v>
      </c>
      <c r="C40" s="3" t="s">
        <v>423</v>
      </c>
      <c r="D40" s="3" t="s">
        <v>712</v>
      </c>
      <c r="E40" s="4" t="s">
        <v>704</v>
      </c>
      <c r="F40" s="4" t="s">
        <v>705</v>
      </c>
      <c r="G40" s="3" t="s">
        <v>706</v>
      </c>
      <c r="H40" s="3" t="s">
        <v>728</v>
      </c>
      <c r="I40" s="3" t="s">
        <v>714</v>
      </c>
    </row>
    <row r="41" customFormat="false" ht="23.85" hidden="false" customHeight="false" outlineLevel="0" collapsed="false">
      <c r="A41" s="3" t="s">
        <v>727</v>
      </c>
      <c r="B41" s="3" t="s">
        <v>711</v>
      </c>
      <c r="C41" s="3" t="s">
        <v>445</v>
      </c>
      <c r="D41" s="3" t="s">
        <v>703</v>
      </c>
      <c r="E41" s="4" t="s">
        <v>704</v>
      </c>
      <c r="F41" s="4" t="s">
        <v>705</v>
      </c>
      <c r="G41" s="3" t="s">
        <v>706</v>
      </c>
      <c r="H41" s="3" t="s">
        <v>716</v>
      </c>
      <c r="I41" s="3" t="s">
        <v>57</v>
      </c>
    </row>
    <row r="42" customFormat="false" ht="23.85" hidden="false" customHeight="false" outlineLevel="0" collapsed="false">
      <c r="A42" s="3" t="s">
        <v>727</v>
      </c>
      <c r="B42" s="3" t="s">
        <v>711</v>
      </c>
      <c r="C42" s="3" t="s">
        <v>451</v>
      </c>
      <c r="D42" s="3" t="s">
        <v>703</v>
      </c>
      <c r="E42" s="4" t="s">
        <v>704</v>
      </c>
      <c r="F42" s="4" t="s">
        <v>705</v>
      </c>
      <c r="G42" s="3" t="s">
        <v>706</v>
      </c>
      <c r="H42" s="3" t="s">
        <v>716</v>
      </c>
      <c r="I42" s="3" t="s">
        <v>57</v>
      </c>
    </row>
    <row r="43" customFormat="false" ht="23.85" hidden="false" customHeight="false" outlineLevel="0" collapsed="false">
      <c r="A43" s="3" t="s">
        <v>729</v>
      </c>
      <c r="B43" s="3" t="s">
        <v>711</v>
      </c>
      <c r="C43" s="3" t="s">
        <v>420</v>
      </c>
      <c r="D43" s="3" t="s">
        <v>703</v>
      </c>
      <c r="E43" s="4" t="s">
        <v>704</v>
      </c>
      <c r="F43" s="4" t="s">
        <v>705</v>
      </c>
      <c r="G43" s="3" t="s">
        <v>706</v>
      </c>
      <c r="H43" s="3" t="s">
        <v>716</v>
      </c>
      <c r="I43" s="3" t="s">
        <v>57</v>
      </c>
    </row>
    <row r="44" customFormat="false" ht="23.85" hidden="false" customHeight="false" outlineLevel="0" collapsed="false">
      <c r="A44" s="3" t="s">
        <v>729</v>
      </c>
      <c r="B44" s="3" t="s">
        <v>711</v>
      </c>
      <c r="C44" s="3" t="s">
        <v>453</v>
      </c>
      <c r="D44" s="3" t="s">
        <v>712</v>
      </c>
      <c r="E44" s="4" t="s">
        <v>704</v>
      </c>
      <c r="F44" s="4" t="s">
        <v>705</v>
      </c>
      <c r="G44" s="3" t="s">
        <v>706</v>
      </c>
      <c r="H44" s="3" t="s">
        <v>730</v>
      </c>
      <c r="I44" s="3" t="s">
        <v>714</v>
      </c>
    </row>
    <row r="45" customFormat="false" ht="23.85" hidden="false" customHeight="false" outlineLevel="0" collapsed="false">
      <c r="A45" s="3" t="s">
        <v>731</v>
      </c>
      <c r="B45" s="3" t="s">
        <v>711</v>
      </c>
      <c r="C45" s="3" t="s">
        <v>401</v>
      </c>
      <c r="D45" s="3" t="s">
        <v>712</v>
      </c>
      <c r="E45" s="4" t="s">
        <v>704</v>
      </c>
      <c r="F45" s="4" t="s">
        <v>705</v>
      </c>
      <c r="G45" s="3" t="s">
        <v>706</v>
      </c>
      <c r="H45" s="3" t="s">
        <v>732</v>
      </c>
      <c r="I45" s="3" t="s">
        <v>714</v>
      </c>
    </row>
    <row r="46" customFormat="false" ht="23.85" hidden="false" customHeight="false" outlineLevel="0" collapsed="false">
      <c r="A46" s="3" t="s">
        <v>731</v>
      </c>
      <c r="B46" s="3" t="s">
        <v>711</v>
      </c>
      <c r="C46" s="3" t="s">
        <v>464</v>
      </c>
      <c r="D46" s="3" t="s">
        <v>703</v>
      </c>
      <c r="E46" s="4" t="s">
        <v>704</v>
      </c>
      <c r="F46" s="4" t="s">
        <v>705</v>
      </c>
      <c r="G46" s="3" t="s">
        <v>706</v>
      </c>
      <c r="H46" s="3" t="s">
        <v>716</v>
      </c>
      <c r="I46" s="3" t="s">
        <v>57</v>
      </c>
    </row>
    <row r="47" customFormat="false" ht="23.85" hidden="false" customHeight="false" outlineLevel="0" collapsed="false">
      <c r="A47" s="3" t="s">
        <v>733</v>
      </c>
      <c r="B47" s="3" t="s">
        <v>711</v>
      </c>
      <c r="C47" s="3" t="s">
        <v>413</v>
      </c>
      <c r="D47" s="3" t="s">
        <v>703</v>
      </c>
      <c r="E47" s="4" t="s">
        <v>704</v>
      </c>
      <c r="F47" s="4" t="s">
        <v>705</v>
      </c>
      <c r="G47" s="3" t="s">
        <v>706</v>
      </c>
      <c r="H47" s="3" t="s">
        <v>716</v>
      </c>
      <c r="I47" s="3" t="s">
        <v>57</v>
      </c>
    </row>
    <row r="48" customFormat="false" ht="23.85" hidden="false" customHeight="false" outlineLevel="0" collapsed="false">
      <c r="A48" s="3" t="s">
        <v>733</v>
      </c>
      <c r="B48" s="3" t="s">
        <v>711</v>
      </c>
      <c r="C48" s="3" t="s">
        <v>459</v>
      </c>
      <c r="D48" s="3" t="s">
        <v>712</v>
      </c>
      <c r="E48" s="4" t="s">
        <v>704</v>
      </c>
      <c r="F48" s="4" t="s">
        <v>705</v>
      </c>
      <c r="G48" s="3" t="s">
        <v>706</v>
      </c>
      <c r="H48" s="3" t="s">
        <v>734</v>
      </c>
      <c r="I48" s="3" t="s">
        <v>714</v>
      </c>
    </row>
    <row r="49" customFormat="false" ht="23.85" hidden="false" customHeight="false" outlineLevel="0" collapsed="false">
      <c r="A49" s="3" t="s">
        <v>735</v>
      </c>
      <c r="B49" s="3" t="s">
        <v>711</v>
      </c>
      <c r="C49" s="3" t="s">
        <v>456</v>
      </c>
      <c r="D49" s="3" t="s">
        <v>703</v>
      </c>
      <c r="E49" s="4" t="s">
        <v>704</v>
      </c>
      <c r="F49" s="4" t="s">
        <v>705</v>
      </c>
      <c r="G49" s="3" t="s">
        <v>706</v>
      </c>
      <c r="H49" s="3" t="s">
        <v>716</v>
      </c>
      <c r="I49" s="3" t="s">
        <v>57</v>
      </c>
    </row>
    <row r="50" customFormat="false" ht="23.85" hidden="false" customHeight="false" outlineLevel="0" collapsed="false">
      <c r="A50" s="3" t="s">
        <v>736</v>
      </c>
      <c r="B50" s="3" t="s">
        <v>711</v>
      </c>
      <c r="C50" s="3" t="s">
        <v>404</v>
      </c>
      <c r="D50" s="3" t="s">
        <v>703</v>
      </c>
      <c r="E50" s="4" t="s">
        <v>704</v>
      </c>
      <c r="F50" s="4" t="s">
        <v>705</v>
      </c>
      <c r="G50" s="3" t="s">
        <v>706</v>
      </c>
      <c r="H50" s="3" t="s">
        <v>716</v>
      </c>
      <c r="I50" s="3" t="s">
        <v>57</v>
      </c>
    </row>
    <row r="51" customFormat="false" ht="23.85" hidden="false" customHeight="false" outlineLevel="0" collapsed="false">
      <c r="A51" s="3" t="s">
        <v>736</v>
      </c>
      <c r="B51" s="3" t="s">
        <v>711</v>
      </c>
      <c r="C51" s="3" t="s">
        <v>416</v>
      </c>
      <c r="D51" s="3" t="s">
        <v>703</v>
      </c>
      <c r="E51" s="4" t="s">
        <v>704</v>
      </c>
      <c r="F51" s="4" t="s">
        <v>705</v>
      </c>
      <c r="G51" s="3" t="s">
        <v>706</v>
      </c>
      <c r="H51" s="3" t="s">
        <v>716</v>
      </c>
      <c r="I51" s="3" t="s">
        <v>57</v>
      </c>
    </row>
    <row r="52" customFormat="false" ht="23.85" hidden="false" customHeight="false" outlineLevel="0" collapsed="false">
      <c r="A52" s="3" t="s">
        <v>737</v>
      </c>
      <c r="B52" s="3" t="s">
        <v>711</v>
      </c>
      <c r="C52" s="3" t="s">
        <v>467</v>
      </c>
      <c r="D52" s="3" t="s">
        <v>712</v>
      </c>
      <c r="E52" s="4" t="s">
        <v>704</v>
      </c>
      <c r="F52" s="4" t="s">
        <v>705</v>
      </c>
      <c r="G52" s="3" t="s">
        <v>706</v>
      </c>
      <c r="H52" s="3" t="s">
        <v>738</v>
      </c>
      <c r="I52" s="3" t="s">
        <v>57</v>
      </c>
    </row>
    <row r="53" customFormat="false" ht="23.85" hidden="false" customHeight="false" outlineLevel="0" collapsed="false">
      <c r="A53" s="3" t="s">
        <v>739</v>
      </c>
      <c r="B53" s="3" t="s">
        <v>711</v>
      </c>
      <c r="C53" s="3" t="s">
        <v>428</v>
      </c>
      <c r="D53" s="3" t="s">
        <v>703</v>
      </c>
      <c r="E53" s="4" t="s">
        <v>704</v>
      </c>
      <c r="F53" s="4" t="s">
        <v>705</v>
      </c>
      <c r="G53" s="3" t="s">
        <v>706</v>
      </c>
      <c r="H53" s="3" t="s">
        <v>716</v>
      </c>
      <c r="I53" s="3" t="s">
        <v>57</v>
      </c>
    </row>
    <row r="54" customFormat="false" ht="23.85" hidden="false" customHeight="false" outlineLevel="0" collapsed="false">
      <c r="A54" s="3" t="s">
        <v>739</v>
      </c>
      <c r="B54" s="3" t="s">
        <v>711</v>
      </c>
      <c r="C54" s="3" t="s">
        <v>476</v>
      </c>
      <c r="D54" s="3" t="s">
        <v>703</v>
      </c>
      <c r="E54" s="4" t="s">
        <v>704</v>
      </c>
      <c r="F54" s="4" t="s">
        <v>705</v>
      </c>
      <c r="G54" s="3" t="s">
        <v>706</v>
      </c>
      <c r="H54" s="3" t="s">
        <v>716</v>
      </c>
      <c r="I54" s="3"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8"/>
    <col collapsed="false" customWidth="true" hidden="false" outlineLevel="0" max="2" min="2" style="0" width="130"/>
  </cols>
  <sheetData>
    <row r="1" customFormat="false" ht="23.85" hidden="false" customHeight="false" outlineLevel="0" collapsed="false">
      <c r="A1" s="2" t="s">
        <v>740</v>
      </c>
      <c r="B1" s="3" t="s">
        <v>741</v>
      </c>
    </row>
    <row r="2" customFormat="false" ht="23.85" hidden="false" customHeight="false" outlineLevel="0" collapsed="false">
      <c r="A2" s="2" t="s">
        <v>742</v>
      </c>
      <c r="B2" s="3" t="s">
        <v>743</v>
      </c>
    </row>
    <row r="3" customFormat="false" ht="46.25" hidden="false" customHeight="false" outlineLevel="0" collapsed="false">
      <c r="A3" s="2" t="s">
        <v>744</v>
      </c>
      <c r="B3" s="3" t="s">
        <v>745</v>
      </c>
    </row>
    <row r="4" customFormat="false" ht="15" hidden="false" customHeight="false" outlineLevel="0" collapsed="false">
      <c r="A4" s="2" t="s">
        <v>746</v>
      </c>
      <c r="B4" s="3" t="s">
        <v>747</v>
      </c>
    </row>
    <row r="5" customFormat="false" ht="23.85" hidden="false" customHeight="false" outlineLevel="0" collapsed="false">
      <c r="A5" s="2" t="s">
        <v>748</v>
      </c>
      <c r="B5" s="3" t="s">
        <v>749</v>
      </c>
    </row>
    <row r="6" customFormat="false" ht="15" hidden="false" customHeight="false" outlineLevel="0" collapsed="false">
      <c r="A6" s="2" t="s">
        <v>750</v>
      </c>
      <c r="B6" s="3" t="s">
        <v>751</v>
      </c>
    </row>
    <row r="8" customFormat="false" ht="15" hidden="false" customHeight="false" outlineLevel="0" collapsed="false">
      <c r="A8" s="2" t="s">
        <v>752</v>
      </c>
    </row>
    <row r="9" customFormat="false" ht="15" hidden="false" customHeight="false" outlineLevel="0" collapsed="false">
      <c r="A9" s="16" t="s">
        <v>217</v>
      </c>
      <c r="B9" s="16" t="s">
        <v>753</v>
      </c>
    </row>
    <row r="10" customFormat="false" ht="15" hidden="false" customHeight="false" outlineLevel="0" collapsed="false">
      <c r="A10" s="16" t="s">
        <v>217</v>
      </c>
      <c r="B10" s="16" t="s">
        <v>754</v>
      </c>
    </row>
    <row r="11" customFormat="false" ht="15" hidden="false" customHeight="false" outlineLevel="0" collapsed="false">
      <c r="A11" s="16" t="s">
        <v>217</v>
      </c>
      <c r="B11" s="16" t="s">
        <v>755</v>
      </c>
    </row>
    <row r="12" customFormat="false" ht="15" hidden="false" customHeight="false" outlineLevel="0" collapsed="false">
      <c r="A12" s="16" t="s">
        <v>217</v>
      </c>
      <c r="B12" s="16" t="s">
        <v>756</v>
      </c>
    </row>
    <row r="13" customFormat="false" ht="15" hidden="false" customHeight="false" outlineLevel="0" collapsed="false">
      <c r="A13" s="16" t="s">
        <v>311</v>
      </c>
      <c r="B13" s="16" t="s">
        <v>757</v>
      </c>
    </row>
    <row r="14" customFormat="false" ht="15" hidden="false" customHeight="false" outlineLevel="0" collapsed="false">
      <c r="A14" s="16" t="s">
        <v>311</v>
      </c>
      <c r="B14" s="16" t="s">
        <v>758</v>
      </c>
    </row>
    <row r="15" customFormat="false" ht="15" hidden="false" customHeight="false" outlineLevel="0" collapsed="false">
      <c r="A15" s="16" t="s">
        <v>311</v>
      </c>
      <c r="B15" s="16" t="s">
        <v>759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2026-09-22T22:25:26Z</dcterms:created>
  <dc:creator>openpyxl</dc:creator>
  <dc:description/>
  <dc:language>en-US</dc:language>
  <cp:lastModifiedBy/>
  <dcterms:modified xsi:type="dcterms:W3CDTF">2026-09-22T22:25:26Z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